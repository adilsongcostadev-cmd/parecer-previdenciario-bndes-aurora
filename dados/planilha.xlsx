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gvmail-my.sharepoint.com/personal/a57959894_fgv_edu_br/Documents/5. ESG/Atividade Prática Individual/"/>
    </mc:Choice>
  </mc:AlternateContent>
  <xr:revisionPtr revIDLastSave="16" documentId="11_7F3AB4DCA2911DE811F36E8482526DDFB1A607B7" xr6:coauthVersionLast="47" xr6:coauthVersionMax="47" xr10:uidLastSave="{8BD1FDCD-DCB6-4078-9FB1-0C0B99FAB330}"/>
  <bookViews>
    <workbookView xWindow="-28920" yWindow="690" windowWidth="29040" windowHeight="15720" xr2:uid="{00000000-000D-0000-FFFF-FFFF00000000}"/>
  </bookViews>
  <sheets>
    <sheet name="Orientações" sheetId="1" r:id="rId1"/>
    <sheet name="Perfil_Empresa" sheetId="2" r:id="rId2"/>
    <sheet name="Recolhimentos" sheetId="3" r:id="rId3"/>
    <sheet name="Absenteismo" sheetId="4" r:id="rId4"/>
    <sheet name="SST" sheetId="5" r:id="rId5"/>
    <sheet name="Terceiros" sheetId="6" r:id="rId6"/>
    <sheet name="Contencioso" sheetId="7" r:id="rId7"/>
    <sheet name="Scoring" sheetId="8" r:id="rId8"/>
    <sheet name="Dashboard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9" l="1"/>
  <c r="B8" i="9"/>
  <c r="B7" i="9"/>
  <c r="B6" i="9"/>
  <c r="B5" i="9"/>
  <c r="B4" i="9"/>
  <c r="B3" i="9"/>
  <c r="D8" i="8"/>
  <c r="B10" i="9" s="1"/>
  <c r="B11" i="9" s="1"/>
  <c r="D7" i="8"/>
  <c r="D6" i="8"/>
  <c r="D5" i="8"/>
  <c r="D4" i="8"/>
  <c r="D3" i="8"/>
  <c r="D2" i="8"/>
</calcChain>
</file>

<file path=xl/sharedStrings.xml><?xml version="1.0" encoding="utf-8"?>
<sst xmlns="http://schemas.openxmlformats.org/spreadsheetml/2006/main" count="249" uniqueCount="179">
  <si>
    <t>CASE DIDÁTICO - Auditoria Previdenciária com Apoio de IA</t>
  </si>
  <si>
    <t>Disciplina: SG | MBA de Inovação e Gestão | INSS</t>
  </si>
  <si>
    <t>Objetivo: analisar dados simulados da Aurora Bioindustrial S.A. e criar um parecer ao BNDES sobre riscos previdenciários, saúde e segurança, terceiros e condicionantes para financiamento.</t>
  </si>
  <si>
    <t>1. Leia as abas Perfil_Empresa, Recolhimentos, Absenteismo, SST, Terceiros e Contencioso.</t>
  </si>
  <si>
    <t>2. Peça à IA para encontrar inconsistências, tendências e riscos.</t>
  </si>
  <si>
    <t>3. Peça gráficos sobre recolhimentos, absenteísmo, acidentes e score de risco.</t>
  </si>
  <si>
    <t>4. Revise a aba Scoring com base nos achados.</t>
  </si>
  <si>
    <t>5. Escreva um relatório com conclusão: aprovar, aprovar com condicionantes ou não aprovar.</t>
  </si>
  <si>
    <t>Prompt sugerido:</t>
  </si>
  <si>
    <t>Atue como analista técnico do INSS consultado pelo BNDES. Analise as abas deste arquivo. Identifique riscos previdenciários, falhas de recolhimento, absenteísmo, acidentes, riscos de terceiros e contencioso. Gere um parecer com evidências, gráficos sugeridos, classificação de risco e recomendação final.</t>
  </si>
  <si>
    <t>Campo</t>
  </si>
  <si>
    <t>Informação</t>
  </si>
  <si>
    <t>Razão social</t>
  </si>
  <si>
    <t>Aurora Bioindustrial S.A.</t>
  </si>
  <si>
    <t>CNPJ fictício</t>
  </si>
  <si>
    <t>48.732.910/0001-66</t>
  </si>
  <si>
    <t>Setor</t>
  </si>
  <si>
    <t>Indústria de alimentos, bioinsumos e embalagens sustentáveis</t>
  </si>
  <si>
    <t>Localização</t>
  </si>
  <si>
    <t>Uberaba, Minas Gerais</t>
  </si>
  <si>
    <t>Empregados diretos</t>
  </si>
  <si>
    <t>Terceirizados permanentes</t>
  </si>
  <si>
    <t>Receita bruta anual (R$)</t>
  </si>
  <si>
    <t>EBITDA anual (R$)</t>
  </si>
  <si>
    <t>Tempo de operação (anos)</t>
  </si>
  <si>
    <t>Valor solicitado ao BNDES (R$)</t>
  </si>
  <si>
    <t>Finalidade do financiamento</t>
  </si>
  <si>
    <t>Modernização industrial, automação e expansão de capacidade</t>
  </si>
  <si>
    <t>Síntese do caso</t>
  </si>
  <si>
    <t>Empresa com relevância econômica e geração de empregos, mas com inconsistências previdenciárias, absenteísmo elevado em áreas operacionais, risco de terceiros e histórico de autuações.</t>
  </si>
  <si>
    <t>Competência</t>
  </si>
  <si>
    <t>Folha declarada (R$)</t>
  </si>
  <si>
    <t>Base previdenciária declarada (R$)</t>
  </si>
  <si>
    <t>Contribuição estimada devida (R$)</t>
  </si>
  <si>
    <t>Valor recolhido (R$)</t>
  </si>
  <si>
    <t>Diferença (R$)</t>
  </si>
  <si>
    <t>Status</t>
  </si>
  <si>
    <t>Dias de atraso</t>
  </si>
  <si>
    <t>Observação</t>
  </si>
  <si>
    <t>Integral no prazo</t>
  </si>
  <si>
    <t>Sem inconsistência material no período</t>
  </si>
  <si>
    <t>Parcial</t>
  </si>
  <si>
    <t>Recolhimento parcial; exige conciliação folha x DCTFWeb</t>
  </si>
  <si>
    <t>Atraso &gt;60 dias</t>
  </si>
  <si>
    <t>Atraso relevante; risco para regularidade e reputação previdenciária</t>
  </si>
  <si>
    <t>Sem recolhimento</t>
  </si>
  <si>
    <t>Ausência de comprovação; risco material</t>
  </si>
  <si>
    <t>Mês</t>
  </si>
  <si>
    <t>Administrativo %</t>
  </si>
  <si>
    <t>Produção %</t>
  </si>
  <si>
    <t>Logística %</t>
  </si>
  <si>
    <t>Manutenção %</t>
  </si>
  <si>
    <t>Qualidade/P&amp;D %</t>
  </si>
  <si>
    <t>Média ponderada %</t>
  </si>
  <si>
    <t>Dias de ausência</t>
  </si>
  <si>
    <t>Afastamentos &gt;15 dias</t>
  </si>
  <si>
    <t>Possível nexo ocupacional</t>
  </si>
  <si>
    <t>Indicador</t>
  </si>
  <si>
    <t>Valor</t>
  </si>
  <si>
    <t>Unidade</t>
  </si>
  <si>
    <t>Limite de atenção</t>
  </si>
  <si>
    <t>Sinalização</t>
  </si>
  <si>
    <t>Comentário</t>
  </si>
  <si>
    <t>Acidentes típicos no ano</t>
  </si>
  <si>
    <t>casos</t>
  </si>
  <si>
    <t>Alto</t>
  </si>
  <si>
    <t>Volume elevado para o porte operacional.</t>
  </si>
  <si>
    <t>CATs registradas</t>
  </si>
  <si>
    <t>Atenção</t>
  </si>
  <si>
    <t>CATs inferiores aos afastamentos com possível nexo ocupacional.</t>
  </si>
  <si>
    <t>Suspeitas de subnotificação de CAT</t>
  </si>
  <si>
    <t>Crítico</t>
  </si>
  <si>
    <t>Pode comprometer reputação previdenciária.</t>
  </si>
  <si>
    <t>Taxa de frequência com afastamento</t>
  </si>
  <si>
    <t>por milhão de horas</t>
  </si>
  <si>
    <t>Indicador acima do limite interno de atenção.</t>
  </si>
  <si>
    <t>Taxa de gravidade</t>
  </si>
  <si>
    <t>dias perdidos por milhão de horas</t>
  </si>
  <si>
    <t>Indica severidade dos eventos.</t>
  </si>
  <si>
    <t>Quase acidentes registrados</t>
  </si>
  <si>
    <t>Pode indicar cultura de reporte, mas também exposição recorrente.</t>
  </si>
  <si>
    <t>Inspeções planejadas</t>
  </si>
  <si>
    <t>inspeções</t>
  </si>
  <si>
    <t>Referência</t>
  </si>
  <si>
    <t>Base de comparação.</t>
  </si>
  <si>
    <t>Inspeções realizadas</t>
  </si>
  <si>
    <t>Insuficiente</t>
  </si>
  <si>
    <t>Execução de apenas 63,5% do planejado.</t>
  </si>
  <si>
    <t>Treinamentos obrigatórios pendentes</t>
  </si>
  <si>
    <t>% empregados produção</t>
  </si>
  <si>
    <t>Risco operacional e documental.</t>
  </si>
  <si>
    <t>Empresa terceira</t>
  </si>
  <si>
    <t>Atividade</t>
  </si>
  <si>
    <t>Empregados alocados</t>
  </si>
  <si>
    <t>Regularidade previdenciária</t>
  </si>
  <si>
    <t>Pendências</t>
  </si>
  <si>
    <t>Nível de dependência operacional</t>
  </si>
  <si>
    <t>Risco</t>
  </si>
  <si>
    <t>Ação recomendada</t>
  </si>
  <si>
    <t>Delta Serviços Operacionais Ltda.</t>
  </si>
  <si>
    <t>Movimentação interna de cargas</t>
  </si>
  <si>
    <t>Sem comprovação integral em 4 competências; excesso de jornada; treinamentos incompletos</t>
  </si>
  <si>
    <t>Alta</t>
  </si>
  <si>
    <t>Exigir regularização em 30 dias e auditoria documental mensal.</t>
  </si>
  <si>
    <t>Nexus Facilities Ltda.</t>
  </si>
  <si>
    <t>Limpeza industrial e apoio operacional</t>
  </si>
  <si>
    <t>Alta rotatividade; divergência de efetivo; indícios de pejotização em supervisores</t>
  </si>
  <si>
    <t>Suspender novas alocações até saneamento e revisar contrato.</t>
  </si>
  <si>
    <t>Vega Alimentação Corporativa Ltda.</t>
  </si>
  <si>
    <t>Restaurante e alimentação</t>
  </si>
  <si>
    <t>Regular</t>
  </si>
  <si>
    <t>Sem pendências materiais identificadas</t>
  </si>
  <si>
    <t>Média</t>
  </si>
  <si>
    <t>Baixo</t>
  </si>
  <si>
    <t>Manter monitoramento trimestral.</t>
  </si>
  <si>
    <t>Orion Segurança Patrimonial Ltda.</t>
  </si>
  <si>
    <t>Segurança patrimonial</t>
  </si>
  <si>
    <t>Documentação compatível</t>
  </si>
  <si>
    <t>Manter controles de rotina.</t>
  </si>
  <si>
    <t>TecnoManut Serviços Ltda.</t>
  </si>
  <si>
    <t>Manutenção predial</t>
  </si>
  <si>
    <t>Pendências formais não materiais</t>
  </si>
  <si>
    <t>Médio</t>
  </si>
  <si>
    <t>Corrigir pendências formais e monitorar mensalmente.</t>
  </si>
  <si>
    <t>Tipo</t>
  </si>
  <si>
    <t>Ano</t>
  </si>
  <si>
    <t>Descrição</t>
  </si>
  <si>
    <t>Valor estimado/provisionado (R$)</t>
  </si>
  <si>
    <t>Situação</t>
  </si>
  <si>
    <t>Auto de infração previdenciário</t>
  </si>
  <si>
    <t>Base de cálculo de adicionais e prêmios</t>
  </si>
  <si>
    <t>Impugnado administrativamente</t>
  </si>
  <si>
    <t>Notificação fiscal</t>
  </si>
  <si>
    <t>Divergências entre eSocial, folha e recolhimento</t>
  </si>
  <si>
    <t>Parcialmente quitado</t>
  </si>
  <si>
    <t>Termo de ajuste interno SST</t>
  </si>
  <si>
    <t>Plano de ação após auditoria independente</t>
  </si>
  <si>
    <t>58% das ações concluídas</t>
  </si>
  <si>
    <t>Ações trabalhistas ativas</t>
  </si>
  <si>
    <t>74 processos: horas extras, insalubridade, doença ocupacional e terceirização</t>
  </si>
  <si>
    <t>Provisionado pela empresa</t>
  </si>
  <si>
    <t>Estimativa auditoria independente</t>
  </si>
  <si>
    <t>Valor potencial total do contencioso trabalhista-previdenciário</t>
  </si>
  <si>
    <t>Estimativa externa</t>
  </si>
  <si>
    <t>Diferença não provisionada</t>
  </si>
  <si>
    <t>Diferença entre estimativa externa e provisão interna</t>
  </si>
  <si>
    <t>Sem provisão integral</t>
  </si>
  <si>
    <t>Critério</t>
  </si>
  <si>
    <t>Peso</t>
  </si>
  <si>
    <t>Nota atribuída</t>
  </si>
  <si>
    <t>Pontuação ponderada</t>
  </si>
  <si>
    <t>Justificativa esperada</t>
  </si>
  <si>
    <t>Regularidade previdenciária formal</t>
  </si>
  <si>
    <t>CND/CPEND, débitos, parcelamentos e lacunas documentais.</t>
  </si>
  <si>
    <t>Consistência folha, eSocial e DCTFWeb</t>
  </si>
  <si>
    <t>Divergências entre folha, eSocial, DCTFWeb e bases previdenciárias.</t>
  </si>
  <si>
    <t>Saúde, segurança e proteção social</t>
  </si>
  <si>
    <t>Absenteísmo, acidentes, CAT e treinamentos pendentes.</t>
  </si>
  <si>
    <t>Gestão de terceiros</t>
  </si>
  <si>
    <t>Regularidade das contratadas e dependência operacional.</t>
  </si>
  <si>
    <t>Histórico de autuações e contencioso</t>
  </si>
  <si>
    <t>Autos, notificações, ações trabalhistas e diferença não provisionada.</t>
  </si>
  <si>
    <t>Capacidade de mitigação e governança</t>
  </si>
  <si>
    <t>Compliance, auditoria externa e plano de regularização.</t>
  </si>
  <si>
    <t>TOTAL</t>
  </si>
  <si>
    <t>Interpretação: 80-100 favorável; 60-79 favorável com condicionantes; 40-59 restritivo; 0-39 desfavorável.</t>
  </si>
  <si>
    <t>Dashboard Sintético - Aurora Bioindustrial S.A.</t>
  </si>
  <si>
    <t>1. Analise o risco previdenciário usando Recolhimentos, Absenteismo, SST, Terceiros e Contencioso.</t>
  </si>
  <si>
    <t>2. Crie três gráficos: diferença previdenciária por competência, absenteísmo por mês e riscos de terceiros.</t>
  </si>
  <si>
    <t>Diferença previdenciária total (R$)</t>
  </si>
  <si>
    <t>3. Escreva um parecer ao BNDES com evidências, risco e condicionantes.</t>
  </si>
  <si>
    <t>Meses com recolhimento parcial/atraso/sem recolhimento</t>
  </si>
  <si>
    <t>4. Liste os documentos que a empresa deve apresentar antes da liberação dos recursos.</t>
  </si>
  <si>
    <t>Absenteísmo médio ponderado</t>
  </si>
  <si>
    <t>Suspeitas de subnotificação CAT</t>
  </si>
  <si>
    <t>Score final</t>
  </si>
  <si>
    <t>Classificação sugerida</t>
  </si>
  <si>
    <t>Prompts úteis para IA</t>
  </si>
  <si>
    <t>Como usar a IA: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</si>
</sst>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R\$\ #,##0"/>
    <numFmt numFmtId="165" formatCode="0.0%"/>
    <numFmt numFmtId="166" formatCode="0.0"/>
  </numFmts>
  <fonts count="4">
    <font>
      <sz val="11"/>
      <name val="Carlito"/>
    </font>
    <font>
      <b/>
      <sz val="14"/>
      <color rgb="FF1F4E79"/>
      <name val="Carlito"/>
    </font>
    <font>
      <b/>
      <sz val="11"/>
      <color rgb="FFFFFFFF"/>
      <name val="Carlito"/>
    </font>
    <font>
      <b/>
      <sz val="11"/>
      <name val="Carlito"/>
    </font>
  </fonts>
  <fills count="5">
    <fill>
      <patternFill patternType="none"/>
    </fill>
    <fill>
      <patternFill patternType="gray125"/>
    </fill>
    <fill>
      <patternFill patternType="solid">
        <fgColor rgb="FFD9EAF7"/>
      </patternFill>
    </fill>
    <fill>
      <patternFill patternType="solid">
        <fgColor rgb="FF1F4E79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left" vertical="center" wrapText="1"/>
    </xf>
    <xf numFmtId="0" fontId="0" fillId="0" borderId="0" xfId="0" applyAlignment="1">
      <alignment wrapText="1"/>
    </xf>
    <xf numFmtId="0" fontId="2" fillId="3" borderId="0" xfId="0" applyFont="1" applyFill="1" applyAlignment="1">
      <alignment horizontal="center" vertical="center" wrapText="1"/>
    </xf>
    <xf numFmtId="3" fontId="0" fillId="0" borderId="0" xfId="0" applyNumberFormat="1" applyAlignment="1">
      <alignment wrapText="1"/>
    </xf>
    <xf numFmtId="164" fontId="0" fillId="0" borderId="0" xfId="0" applyNumberFormat="1" applyAlignment="1">
      <alignment wrapText="1"/>
    </xf>
    <xf numFmtId="17" fontId="2" fillId="3" borderId="0" xfId="0" applyNumberFormat="1" applyFont="1" applyFill="1" applyAlignment="1">
      <alignment horizontal="center" vertical="center" wrapText="1"/>
    </xf>
    <xf numFmtId="164" fontId="2" fillId="3" borderId="0" xfId="0" applyNumberFormat="1" applyFont="1" applyFill="1" applyAlignment="1">
      <alignment horizontal="center" vertical="center" wrapText="1"/>
    </xf>
    <xf numFmtId="1" fontId="2" fillId="3" borderId="0" xfId="0" applyNumberFormat="1" applyFont="1" applyFill="1" applyAlignment="1">
      <alignment horizontal="center" vertical="center" wrapText="1"/>
    </xf>
    <xf numFmtId="165" fontId="2" fillId="3" borderId="0" xfId="0" applyNumberFormat="1" applyFont="1" applyFill="1" applyAlignment="1">
      <alignment horizontal="center" vertical="center" wrapText="1"/>
    </xf>
    <xf numFmtId="165" fontId="0" fillId="0" borderId="0" xfId="0" applyNumberFormat="1"/>
    <xf numFmtId="2" fontId="2" fillId="3" borderId="0" xfId="0" applyNumberFormat="1" applyFont="1" applyFill="1" applyAlignment="1">
      <alignment horizontal="center" vertical="center" wrapText="1"/>
    </xf>
    <xf numFmtId="0" fontId="3" fillId="4" borderId="0" xfId="0" applyFont="1" applyFill="1"/>
    <xf numFmtId="166" fontId="2" fillId="3" borderId="0" xfId="0" applyNumberFormat="1" applyFont="1" applyFill="1" applyAlignment="1">
      <alignment horizontal="center" vertical="center" wrapText="1"/>
    </xf>
    <xf numFmtId="165" fontId="0" fillId="0" borderId="0" xfId="0" applyNumberFormat="1" applyAlignment="1">
      <alignment wrapText="1"/>
    </xf>
    <xf numFmtId="166" fontId="0" fillId="0" borderId="0" xfId="0" applyNumberFormat="1" applyAlignment="1">
      <alignment wrapText="1"/>
    </xf>
    <xf numFmtId="0" fontId="3" fillId="4" borderId="0" xfId="0" applyFont="1" applyFill="1" applyAlignment="1">
      <alignment wrapText="1"/>
    </xf>
  </cellXfs>
  <cellStyles count="1">
    <cellStyle name="Normal" xfId="0" builtinId="0"/>
  </cellStyles>
  <dxfs count="2">
    <dxf>
      <fill>
        <patternFill>
          <bgColor rgb="FFF8CBAD"/>
        </patternFill>
      </fill>
    </dxf>
    <dxf>
      <fill>
        <patternFill>
          <bgColor rgb="FFF8CBA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title>
      <c:tx>
        <c:rich>
          <a:bodyPr/>
          <a:lstStyle/>
          <a:p>
            <a:r>
              <a:rPr lang="pt-BR"/>
              <a:t>Diferença previdenciária por competência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Folha declarada (R$)</c:v>
          </c:tx>
          <c:invertIfNegative val="1"/>
          <c:cat>
            <c:numRef>
              <c:f>Recolhimentos!$A$2:$A$25</c:f>
              <c:numCache>
                <c:formatCode>General</c:formatCode>
                <c:ptCount val="24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</c:numCache>
            </c:numRef>
          </c:cat>
          <c:val>
            <c:numRef>
              <c:f>Recolhimentos!$B$2:$B$25</c:f>
              <c:numCache>
                <c:formatCode>General</c:formatCode>
                <c:ptCount val="24"/>
                <c:pt idx="0">
                  <c:v>6500000</c:v>
                </c:pt>
                <c:pt idx="1">
                  <c:v>6580000</c:v>
                </c:pt>
                <c:pt idx="2">
                  <c:v>6660000</c:v>
                </c:pt>
                <c:pt idx="3">
                  <c:v>6740000</c:v>
                </c:pt>
                <c:pt idx="4">
                  <c:v>6820000</c:v>
                </c:pt>
                <c:pt idx="5">
                  <c:v>6900000</c:v>
                </c:pt>
                <c:pt idx="6">
                  <c:v>6620000</c:v>
                </c:pt>
                <c:pt idx="7">
                  <c:v>6700000</c:v>
                </c:pt>
                <c:pt idx="8">
                  <c:v>6780000</c:v>
                </c:pt>
                <c:pt idx="9">
                  <c:v>6860000</c:v>
                </c:pt>
                <c:pt idx="10">
                  <c:v>6940000</c:v>
                </c:pt>
                <c:pt idx="11">
                  <c:v>7020000</c:v>
                </c:pt>
                <c:pt idx="12">
                  <c:v>6740000</c:v>
                </c:pt>
                <c:pt idx="13">
                  <c:v>6820000</c:v>
                </c:pt>
                <c:pt idx="14">
                  <c:v>6900000</c:v>
                </c:pt>
                <c:pt idx="15">
                  <c:v>6980000</c:v>
                </c:pt>
                <c:pt idx="16">
                  <c:v>7060000</c:v>
                </c:pt>
                <c:pt idx="17">
                  <c:v>7140000</c:v>
                </c:pt>
                <c:pt idx="18">
                  <c:v>6860000</c:v>
                </c:pt>
                <c:pt idx="19">
                  <c:v>6940000</c:v>
                </c:pt>
                <c:pt idx="20">
                  <c:v>7020000</c:v>
                </c:pt>
                <c:pt idx="21">
                  <c:v>7100000</c:v>
                </c:pt>
                <c:pt idx="22">
                  <c:v>7180000</c:v>
                </c:pt>
                <c:pt idx="23">
                  <c:v>7260000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5B8-4A9F-A0F4-A7DFC5F19191}"/>
            </c:ext>
          </c:extLst>
        </c:ser>
        <c:ser>
          <c:idx val="1"/>
          <c:order val="1"/>
          <c:tx>
            <c:v>Base previdenciária declarada (R$)</c:v>
          </c:tx>
          <c:invertIfNegative val="1"/>
          <c:cat>
            <c:numRef>
              <c:f>Recolhimentos!$A$2:$A$25</c:f>
              <c:numCache>
                <c:formatCode>General</c:formatCode>
                <c:ptCount val="24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</c:numCache>
            </c:numRef>
          </c:cat>
          <c:val>
            <c:numRef>
              <c:f>Recolhimentos!$C$2:$C$25</c:f>
              <c:numCache>
                <c:formatCode>General</c:formatCode>
                <c:ptCount val="24"/>
                <c:pt idx="0">
                  <c:v>6500000</c:v>
                </c:pt>
                <c:pt idx="1">
                  <c:v>6580000</c:v>
                </c:pt>
                <c:pt idx="2">
                  <c:v>6510000</c:v>
                </c:pt>
                <c:pt idx="3">
                  <c:v>6740000</c:v>
                </c:pt>
                <c:pt idx="4">
                  <c:v>6670000</c:v>
                </c:pt>
                <c:pt idx="5">
                  <c:v>6900000</c:v>
                </c:pt>
                <c:pt idx="6">
                  <c:v>6620000</c:v>
                </c:pt>
                <c:pt idx="7">
                  <c:v>6700000</c:v>
                </c:pt>
                <c:pt idx="8">
                  <c:v>6630000</c:v>
                </c:pt>
                <c:pt idx="9">
                  <c:v>6860000</c:v>
                </c:pt>
                <c:pt idx="10">
                  <c:v>6690000</c:v>
                </c:pt>
                <c:pt idx="11">
                  <c:v>7020000</c:v>
                </c:pt>
                <c:pt idx="12">
                  <c:v>6740000</c:v>
                </c:pt>
                <c:pt idx="13">
                  <c:v>6670000</c:v>
                </c:pt>
                <c:pt idx="14">
                  <c:v>6900000</c:v>
                </c:pt>
                <c:pt idx="15">
                  <c:v>6980000</c:v>
                </c:pt>
                <c:pt idx="16">
                  <c:v>7060000</c:v>
                </c:pt>
                <c:pt idx="17">
                  <c:v>6990000</c:v>
                </c:pt>
                <c:pt idx="18">
                  <c:v>6860000</c:v>
                </c:pt>
                <c:pt idx="19">
                  <c:v>6940000</c:v>
                </c:pt>
                <c:pt idx="20">
                  <c:v>7020000</c:v>
                </c:pt>
                <c:pt idx="21">
                  <c:v>6950000</c:v>
                </c:pt>
                <c:pt idx="22">
                  <c:v>7180000</c:v>
                </c:pt>
                <c:pt idx="23">
                  <c:v>7260000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5B8-4A9F-A0F4-A7DFC5F19191}"/>
            </c:ext>
          </c:extLst>
        </c:ser>
        <c:ser>
          <c:idx val="2"/>
          <c:order val="2"/>
          <c:tx>
            <c:v>Contribuição estimada devida (R$)</c:v>
          </c:tx>
          <c:invertIfNegative val="1"/>
          <c:cat>
            <c:numRef>
              <c:f>Recolhimentos!$A$2:$A$25</c:f>
              <c:numCache>
                <c:formatCode>General</c:formatCode>
                <c:ptCount val="24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</c:numCache>
            </c:numRef>
          </c:cat>
          <c:val>
            <c:numRef>
              <c:f>Recolhimentos!$D$2:$D$25</c:f>
              <c:numCache>
                <c:formatCode>General</c:formatCode>
                <c:ptCount val="24"/>
                <c:pt idx="0">
                  <c:v>1560000</c:v>
                </c:pt>
                <c:pt idx="1">
                  <c:v>1579200</c:v>
                </c:pt>
                <c:pt idx="2">
                  <c:v>1562400</c:v>
                </c:pt>
                <c:pt idx="3">
                  <c:v>1617600</c:v>
                </c:pt>
                <c:pt idx="4">
                  <c:v>1600800</c:v>
                </c:pt>
                <c:pt idx="5">
                  <c:v>1656000</c:v>
                </c:pt>
                <c:pt idx="6">
                  <c:v>1588800</c:v>
                </c:pt>
                <c:pt idx="7">
                  <c:v>1608000</c:v>
                </c:pt>
                <c:pt idx="8">
                  <c:v>1591200</c:v>
                </c:pt>
                <c:pt idx="9">
                  <c:v>1646400</c:v>
                </c:pt>
                <c:pt idx="10">
                  <c:v>1605600</c:v>
                </c:pt>
                <c:pt idx="11">
                  <c:v>1684800</c:v>
                </c:pt>
                <c:pt idx="12">
                  <c:v>1617600</c:v>
                </c:pt>
                <c:pt idx="13">
                  <c:v>1600800</c:v>
                </c:pt>
                <c:pt idx="14">
                  <c:v>1656000</c:v>
                </c:pt>
                <c:pt idx="15">
                  <c:v>1675200</c:v>
                </c:pt>
                <c:pt idx="16">
                  <c:v>1694400</c:v>
                </c:pt>
                <c:pt idx="17">
                  <c:v>1677600</c:v>
                </c:pt>
                <c:pt idx="18">
                  <c:v>1646400</c:v>
                </c:pt>
                <c:pt idx="19">
                  <c:v>1665600</c:v>
                </c:pt>
                <c:pt idx="20">
                  <c:v>1684800</c:v>
                </c:pt>
                <c:pt idx="21">
                  <c:v>1668000</c:v>
                </c:pt>
                <c:pt idx="22">
                  <c:v>1723200</c:v>
                </c:pt>
                <c:pt idx="23">
                  <c:v>1742400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5B8-4A9F-A0F4-A7DFC5F19191}"/>
            </c:ext>
          </c:extLst>
        </c:ser>
        <c:ser>
          <c:idx val="3"/>
          <c:order val="3"/>
          <c:tx>
            <c:v>Valor recolhido (R$)</c:v>
          </c:tx>
          <c:invertIfNegative val="1"/>
          <c:cat>
            <c:numRef>
              <c:f>Recolhimentos!$A$2:$A$25</c:f>
              <c:numCache>
                <c:formatCode>General</c:formatCode>
                <c:ptCount val="24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</c:numCache>
            </c:numRef>
          </c:cat>
          <c:val>
            <c:numRef>
              <c:f>Recolhimentos!$E$2:$E$25</c:f>
              <c:numCache>
                <c:formatCode>General</c:formatCode>
                <c:ptCount val="24"/>
                <c:pt idx="0">
                  <c:v>1560000</c:v>
                </c:pt>
                <c:pt idx="1">
                  <c:v>1579200</c:v>
                </c:pt>
                <c:pt idx="2">
                  <c:v>1212400</c:v>
                </c:pt>
                <c:pt idx="3">
                  <c:v>1617600</c:v>
                </c:pt>
                <c:pt idx="4">
                  <c:v>1180800</c:v>
                </c:pt>
                <c:pt idx="5">
                  <c:v>1126000</c:v>
                </c:pt>
                <c:pt idx="6">
                  <c:v>1588800</c:v>
                </c:pt>
                <c:pt idx="7">
                  <c:v>1608000</c:v>
                </c:pt>
                <c:pt idx="8">
                  <c:v>1281200</c:v>
                </c:pt>
                <c:pt idx="9">
                  <c:v>1646400</c:v>
                </c:pt>
                <c:pt idx="10">
                  <c:v>985600</c:v>
                </c:pt>
                <c:pt idx="11">
                  <c:v>1684800</c:v>
                </c:pt>
                <c:pt idx="12">
                  <c:v>1617600</c:v>
                </c:pt>
                <c:pt idx="13">
                  <c:v>1320800</c:v>
                </c:pt>
                <c:pt idx="14">
                  <c:v>1656000</c:v>
                </c:pt>
                <c:pt idx="15">
                  <c:v>1215200</c:v>
                </c:pt>
                <c:pt idx="16">
                  <c:v>1694400</c:v>
                </c:pt>
                <c:pt idx="17">
                  <c:v>1437600</c:v>
                </c:pt>
                <c:pt idx="18">
                  <c:v>1646400</c:v>
                </c:pt>
                <c:pt idx="19">
                  <c:v>1275600</c:v>
                </c:pt>
                <c:pt idx="20">
                  <c:v>1684800</c:v>
                </c:pt>
                <c:pt idx="21">
                  <c:v>1368000</c:v>
                </c:pt>
                <c:pt idx="22">
                  <c:v>1723200</c:v>
                </c:pt>
                <c:pt idx="23">
                  <c:v>1742400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5B8-4A9F-A0F4-A7DFC5F19191}"/>
            </c:ext>
          </c:extLst>
        </c:ser>
        <c:ser>
          <c:idx val="4"/>
          <c:order val="4"/>
          <c:tx>
            <c:v>Diferença (R$)</c:v>
          </c:tx>
          <c:invertIfNegative val="1"/>
          <c:cat>
            <c:numRef>
              <c:f>Recolhimentos!$A$2:$A$25</c:f>
              <c:numCache>
                <c:formatCode>General</c:formatCode>
                <c:ptCount val="24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</c:numCache>
            </c:numRef>
          </c:cat>
          <c:val>
            <c:numRef>
              <c:f>Recolhimentos!$F$2:$F$25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350000</c:v>
                </c:pt>
                <c:pt idx="3">
                  <c:v>0</c:v>
                </c:pt>
                <c:pt idx="4">
                  <c:v>420000</c:v>
                </c:pt>
                <c:pt idx="5">
                  <c:v>530000</c:v>
                </c:pt>
                <c:pt idx="6">
                  <c:v>0</c:v>
                </c:pt>
                <c:pt idx="7">
                  <c:v>0</c:v>
                </c:pt>
                <c:pt idx="8">
                  <c:v>310000</c:v>
                </c:pt>
                <c:pt idx="9">
                  <c:v>0</c:v>
                </c:pt>
                <c:pt idx="10">
                  <c:v>620000</c:v>
                </c:pt>
                <c:pt idx="11">
                  <c:v>0</c:v>
                </c:pt>
                <c:pt idx="12">
                  <c:v>0</c:v>
                </c:pt>
                <c:pt idx="13">
                  <c:v>280000</c:v>
                </c:pt>
                <c:pt idx="14">
                  <c:v>0</c:v>
                </c:pt>
                <c:pt idx="15">
                  <c:v>460000</c:v>
                </c:pt>
                <c:pt idx="16">
                  <c:v>0</c:v>
                </c:pt>
                <c:pt idx="17">
                  <c:v>240000</c:v>
                </c:pt>
                <c:pt idx="18">
                  <c:v>0</c:v>
                </c:pt>
                <c:pt idx="19">
                  <c:v>390000</c:v>
                </c:pt>
                <c:pt idx="20">
                  <c:v>0</c:v>
                </c:pt>
                <c:pt idx="21">
                  <c:v>300000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5B8-4A9F-A0F4-A7DFC5F191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title>
      <c:tx>
        <c:rich>
          <a:bodyPr/>
          <a:lstStyle/>
          <a:p>
            <a:r>
              <a:rPr lang="pt-BR"/>
              <a:t>Absenteísmo médio ponderado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Administrativo %</c:v>
          </c:tx>
          <c:cat>
            <c:numRef>
              <c:f>Absenteismo!$A$2:$A$13</c:f>
              <c:numCache>
                <c:formatCode>General</c:formatCode>
                <c:ptCount val="12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</c:numCache>
            </c:numRef>
          </c:cat>
          <c:val>
            <c:numRef>
              <c:f>Absenteismo!$B$2:$B$13</c:f>
              <c:numCache>
                <c:formatCode>0.0%</c:formatCode>
                <c:ptCount val="12"/>
                <c:pt idx="0">
                  <c:v>0.02</c:v>
                </c:pt>
                <c:pt idx="1">
                  <c:v>2.1000000000000001E-2</c:v>
                </c:pt>
                <c:pt idx="2">
                  <c:v>1.9E-2</c:v>
                </c:pt>
                <c:pt idx="3">
                  <c:v>2.2000000000000002E-2</c:v>
                </c:pt>
                <c:pt idx="4">
                  <c:v>2.4E-2</c:v>
                </c:pt>
                <c:pt idx="5">
                  <c:v>2.3E-2</c:v>
                </c:pt>
                <c:pt idx="6">
                  <c:v>0.02</c:v>
                </c:pt>
                <c:pt idx="7">
                  <c:v>2.2000000000000002E-2</c:v>
                </c:pt>
                <c:pt idx="8">
                  <c:v>2.1000000000000001E-2</c:v>
                </c:pt>
                <c:pt idx="9">
                  <c:v>2.2000000000000002E-2</c:v>
                </c:pt>
                <c:pt idx="10">
                  <c:v>0.02</c:v>
                </c:pt>
                <c:pt idx="11">
                  <c:v>2.1000000000000001E-2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DF2-4E62-9588-9184459DB90B}"/>
            </c:ext>
          </c:extLst>
        </c:ser>
        <c:ser>
          <c:idx val="1"/>
          <c:order val="1"/>
          <c:tx>
            <c:v>Produção %</c:v>
          </c:tx>
          <c:cat>
            <c:numRef>
              <c:f>Absenteismo!$A$2:$A$13</c:f>
              <c:numCache>
                <c:formatCode>General</c:formatCode>
                <c:ptCount val="12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</c:numCache>
            </c:numRef>
          </c:cat>
          <c:val>
            <c:numRef>
              <c:f>Absenteismo!$C$2:$C$13</c:f>
              <c:numCache>
                <c:formatCode>0.0%</c:formatCode>
                <c:ptCount val="12"/>
                <c:pt idx="0">
                  <c:v>7.8E-2</c:v>
                </c:pt>
                <c:pt idx="1">
                  <c:v>8.1000000000000003E-2</c:v>
                </c:pt>
                <c:pt idx="2">
                  <c:v>8.3000000000000004E-2</c:v>
                </c:pt>
                <c:pt idx="3">
                  <c:v>8.6999999999999994E-2</c:v>
                </c:pt>
                <c:pt idx="4">
                  <c:v>9.0999999999999998E-2</c:v>
                </c:pt>
                <c:pt idx="5">
                  <c:v>8.900000000000001E-2</c:v>
                </c:pt>
                <c:pt idx="6">
                  <c:v>8.4000000000000005E-2</c:v>
                </c:pt>
                <c:pt idx="7">
                  <c:v>8.5999999999999993E-2</c:v>
                </c:pt>
                <c:pt idx="8">
                  <c:v>8.8000000000000009E-2</c:v>
                </c:pt>
                <c:pt idx="9">
                  <c:v>0.09</c:v>
                </c:pt>
                <c:pt idx="10">
                  <c:v>8.5000000000000006E-2</c:v>
                </c:pt>
                <c:pt idx="11">
                  <c:v>8.900000000000001E-2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DF2-4E62-9588-9184459DB90B}"/>
            </c:ext>
          </c:extLst>
        </c:ser>
        <c:ser>
          <c:idx val="2"/>
          <c:order val="2"/>
          <c:tx>
            <c:v>Logística %</c:v>
          </c:tx>
          <c:cat>
            <c:numRef>
              <c:f>Absenteismo!$A$2:$A$13</c:f>
              <c:numCache>
                <c:formatCode>General</c:formatCode>
                <c:ptCount val="12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</c:numCache>
            </c:numRef>
          </c:cat>
          <c:val>
            <c:numRef>
              <c:f>Absenteismo!$D$2:$D$13</c:f>
              <c:numCache>
                <c:formatCode>0.0%</c:formatCode>
                <c:ptCount val="12"/>
                <c:pt idx="0">
                  <c:v>6.9000000000000006E-2</c:v>
                </c:pt>
                <c:pt idx="1">
                  <c:v>7.2999999999999995E-2</c:v>
                </c:pt>
                <c:pt idx="2">
                  <c:v>7.8E-2</c:v>
                </c:pt>
                <c:pt idx="3">
                  <c:v>7.9000000000000001E-2</c:v>
                </c:pt>
                <c:pt idx="4">
                  <c:v>8.199999999999999E-2</c:v>
                </c:pt>
                <c:pt idx="5">
                  <c:v>8.1000000000000003E-2</c:v>
                </c:pt>
                <c:pt idx="6">
                  <c:v>7.5999999999999998E-2</c:v>
                </c:pt>
                <c:pt idx="7">
                  <c:v>7.6999999999999999E-2</c:v>
                </c:pt>
                <c:pt idx="8">
                  <c:v>0.08</c:v>
                </c:pt>
                <c:pt idx="9">
                  <c:v>8.3000000000000004E-2</c:v>
                </c:pt>
                <c:pt idx="10">
                  <c:v>7.8E-2</c:v>
                </c:pt>
                <c:pt idx="11">
                  <c:v>8.1000000000000003E-2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DF2-4E62-9588-9184459DB90B}"/>
            </c:ext>
          </c:extLst>
        </c:ser>
        <c:ser>
          <c:idx val="3"/>
          <c:order val="3"/>
          <c:tx>
            <c:v>Manutenção %</c:v>
          </c:tx>
          <c:cat>
            <c:numRef>
              <c:f>Absenteismo!$A$2:$A$13</c:f>
              <c:numCache>
                <c:formatCode>General</c:formatCode>
                <c:ptCount val="12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</c:numCache>
            </c:numRef>
          </c:cat>
          <c:val>
            <c:numRef>
              <c:f>Absenteismo!$E$2:$E$13</c:f>
              <c:numCache>
                <c:formatCode>0.0%</c:formatCode>
                <c:ptCount val="12"/>
                <c:pt idx="0">
                  <c:v>5.2000000000000005E-2</c:v>
                </c:pt>
                <c:pt idx="1">
                  <c:v>5.5E-2</c:v>
                </c:pt>
                <c:pt idx="2">
                  <c:v>5.7000000000000002E-2</c:v>
                </c:pt>
                <c:pt idx="3">
                  <c:v>6.0999999999999999E-2</c:v>
                </c:pt>
                <c:pt idx="4">
                  <c:v>6.3E-2</c:v>
                </c:pt>
                <c:pt idx="5">
                  <c:v>6.4000000000000001E-2</c:v>
                </c:pt>
                <c:pt idx="6">
                  <c:v>5.7999999999999996E-2</c:v>
                </c:pt>
                <c:pt idx="7">
                  <c:v>0.06</c:v>
                </c:pt>
                <c:pt idx="8">
                  <c:v>6.2E-2</c:v>
                </c:pt>
                <c:pt idx="9">
                  <c:v>6.5000000000000002E-2</c:v>
                </c:pt>
                <c:pt idx="10">
                  <c:v>0.06</c:v>
                </c:pt>
                <c:pt idx="11">
                  <c:v>6.4000000000000001E-2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DF2-4E62-9588-9184459DB90B}"/>
            </c:ext>
          </c:extLst>
        </c:ser>
        <c:ser>
          <c:idx val="4"/>
          <c:order val="4"/>
          <c:tx>
            <c:v>Qualidade/P&amp;D %</c:v>
          </c:tx>
          <c:cat>
            <c:numRef>
              <c:f>Absenteismo!$A$2:$A$13</c:f>
              <c:numCache>
                <c:formatCode>General</c:formatCode>
                <c:ptCount val="12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</c:numCache>
            </c:numRef>
          </c:cat>
          <c:val>
            <c:numRef>
              <c:f>Absenteismo!$F$2:$F$13</c:f>
              <c:numCache>
                <c:formatCode>0.0%</c:formatCode>
                <c:ptCount val="12"/>
                <c:pt idx="0">
                  <c:v>3.1E-2</c:v>
                </c:pt>
                <c:pt idx="1">
                  <c:v>3.2000000000000001E-2</c:v>
                </c:pt>
                <c:pt idx="2">
                  <c:v>0.03</c:v>
                </c:pt>
                <c:pt idx="3">
                  <c:v>3.4000000000000002E-2</c:v>
                </c:pt>
                <c:pt idx="4">
                  <c:v>3.5000000000000003E-2</c:v>
                </c:pt>
                <c:pt idx="5">
                  <c:v>3.6000000000000004E-2</c:v>
                </c:pt>
                <c:pt idx="6">
                  <c:v>3.3000000000000002E-2</c:v>
                </c:pt>
                <c:pt idx="7">
                  <c:v>3.4000000000000002E-2</c:v>
                </c:pt>
                <c:pt idx="8">
                  <c:v>3.5000000000000003E-2</c:v>
                </c:pt>
                <c:pt idx="9">
                  <c:v>3.7000000000000005E-2</c:v>
                </c:pt>
                <c:pt idx="10">
                  <c:v>3.4000000000000002E-2</c:v>
                </c:pt>
                <c:pt idx="11">
                  <c:v>3.6000000000000004E-2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DF2-4E62-9588-9184459DB90B}"/>
            </c:ext>
          </c:extLst>
        </c:ser>
        <c:ser>
          <c:idx val="5"/>
          <c:order val="5"/>
          <c:tx>
            <c:v>Média ponderada %</c:v>
          </c:tx>
          <c:cat>
            <c:numRef>
              <c:f>Absenteismo!$A$2:$A$13</c:f>
              <c:numCache>
                <c:formatCode>General</c:formatCode>
                <c:ptCount val="12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</c:numCache>
            </c:numRef>
          </c:cat>
          <c:val>
            <c:numRef>
              <c:f>Absenteismo!$G$2:$G$13</c:f>
              <c:numCache>
                <c:formatCode>0.0%</c:formatCode>
                <c:ptCount val="12"/>
                <c:pt idx="0">
                  <c:v>5.5999999999999994E-2</c:v>
                </c:pt>
                <c:pt idx="1">
                  <c:v>5.9000000000000004E-2</c:v>
                </c:pt>
                <c:pt idx="2">
                  <c:v>0.06</c:v>
                </c:pt>
                <c:pt idx="3">
                  <c:v>6.3E-2</c:v>
                </c:pt>
                <c:pt idx="4">
                  <c:v>6.6000000000000003E-2</c:v>
                </c:pt>
                <c:pt idx="5">
                  <c:v>6.5000000000000002E-2</c:v>
                </c:pt>
                <c:pt idx="6">
                  <c:v>6.0999999999999999E-2</c:v>
                </c:pt>
                <c:pt idx="7">
                  <c:v>6.2E-2</c:v>
                </c:pt>
                <c:pt idx="8">
                  <c:v>6.4000000000000001E-2</c:v>
                </c:pt>
                <c:pt idx="9">
                  <c:v>6.7000000000000004E-2</c:v>
                </c:pt>
                <c:pt idx="10">
                  <c:v>6.2E-2</c:v>
                </c:pt>
                <c:pt idx="11">
                  <c:v>6.5000000000000002E-2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CDF2-4E62-9588-9184459DB9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%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2438400</xdr:colOff>
      <xdr:row>0</xdr:row>
      <xdr:rowOff>355600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7F697D66-BDFE-A766-68C6-181D15825F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438400" cy="355600"/>
        </a:xfrm>
        <a:prstGeom prst="rect">
          <a:avLst/>
        </a:prstGeom>
      </xdr:spPr>
    </xdr:pic>
    <xdr:clientData/>
  </xdr:twoCellAnchor>
  <xdr:oneCellAnchor>
    <xdr:from>
      <xdr:col>0</xdr:col>
      <xdr:colOff>76200</xdr:colOff>
      <xdr:row>0</xdr:row>
      <xdr:rowOff>361950</xdr:rowOff>
    </xdr:from>
    <xdr:ext cx="8022774" cy="781240"/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id="{FD9A1890-272C-F5C4-44FF-086714D174AF}"/>
            </a:ext>
          </a:extLst>
        </xdr:cNvPr>
        <xdr:cNvSpPr txBox="1"/>
      </xdr:nvSpPr>
      <xdr:spPr>
        <a:xfrm>
          <a:off x="76200" y="361950"/>
          <a:ext cx="8022774" cy="78124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pt-BR" sz="1100" b="1">
              <a:solidFill>
                <a:schemeClr val="tx1"/>
              </a:solidFill>
              <a:effectLst/>
              <a:latin typeface="Aptos" panose="020B0004020202020204" pitchFamily="34" charset="0"/>
              <a:ea typeface="+mn-ea"/>
              <a:cs typeface="+mn-cs"/>
            </a:rPr>
            <a:t>Curso: </a:t>
          </a:r>
          <a:r>
            <a:rPr lang="pt-BR" sz="1100">
              <a:solidFill>
                <a:schemeClr val="tx1"/>
              </a:solidFill>
              <a:effectLst/>
              <a:latin typeface="Aptos" panose="020B0004020202020204" pitchFamily="34" charset="0"/>
              <a:ea typeface="+mn-ea"/>
              <a:cs typeface="+mn-cs"/>
            </a:rPr>
            <a:t>MBA em Inovação e Gestão (INSS – </a:t>
          </a:r>
          <a:r>
            <a:rPr lang="pt-BR" sz="1100" i="1">
              <a:solidFill>
                <a:schemeClr val="tx1"/>
              </a:solidFill>
              <a:effectLst/>
              <a:latin typeface="Aptos" panose="020B0004020202020204" pitchFamily="34" charset="0"/>
              <a:ea typeface="+mn-ea"/>
              <a:cs typeface="+mn-cs"/>
            </a:rPr>
            <a:t>in company</a:t>
          </a:r>
          <a:r>
            <a:rPr lang="pt-BR" sz="1100">
              <a:solidFill>
                <a:schemeClr val="tx1"/>
              </a:solidFill>
              <a:effectLst/>
              <a:latin typeface="Aptos" panose="020B0004020202020204" pitchFamily="34" charset="0"/>
              <a:ea typeface="+mn-ea"/>
              <a:cs typeface="+mn-cs"/>
            </a:rPr>
            <a:t>)</a:t>
          </a:r>
        </a:p>
        <a:p>
          <a:r>
            <a:rPr lang="pt-BR" sz="1100" b="1">
              <a:solidFill>
                <a:schemeClr val="tx1"/>
              </a:solidFill>
              <a:effectLst/>
              <a:latin typeface="Aptos" panose="020B0004020202020204" pitchFamily="34" charset="0"/>
              <a:ea typeface="+mn-ea"/>
              <a:cs typeface="+mn-cs"/>
            </a:rPr>
            <a:t>Professor: </a:t>
          </a:r>
          <a:r>
            <a:rPr lang="pt-BR" sz="1100">
              <a:solidFill>
                <a:schemeClr val="tx1"/>
              </a:solidFill>
              <a:effectLst/>
              <a:latin typeface="Aptos" panose="020B0004020202020204" pitchFamily="34" charset="0"/>
              <a:ea typeface="+mn-ea"/>
              <a:cs typeface="+mn-cs"/>
            </a:rPr>
            <a:t>Felipe Borges, PMP</a:t>
          </a:r>
        </a:p>
        <a:p>
          <a:r>
            <a:rPr lang="pt-BR" sz="1100" b="1">
              <a:solidFill>
                <a:schemeClr val="tx1"/>
              </a:solidFill>
              <a:effectLst/>
              <a:latin typeface="Aptos" panose="020B0004020202020204" pitchFamily="34" charset="0"/>
              <a:ea typeface="+mn-ea"/>
              <a:cs typeface="+mn-cs"/>
            </a:rPr>
            <a:t>Disciplina: </a:t>
          </a:r>
          <a:r>
            <a:rPr lang="pt-BR" sz="1100">
              <a:solidFill>
                <a:schemeClr val="tx1"/>
              </a:solidFill>
              <a:effectLst/>
              <a:latin typeface="Aptos" panose="020B0004020202020204" pitchFamily="34" charset="0"/>
              <a:ea typeface="+mn-ea"/>
              <a:cs typeface="+mn-cs"/>
            </a:rPr>
            <a:t>Environmental Social e Corporate Governance (ESG)-06-26 - INC02670-INSSMBAIT1_IC-INSSMBAIAAGSCGD26_0626</a:t>
          </a:r>
        </a:p>
        <a:p>
          <a:endParaRPr lang="pt-BR" sz="1100">
            <a:latin typeface="Aptos" panose="020B0004020202020204" pitchFamily="34" charset="0"/>
          </a:endParaRP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12</xdr:row>
      <xdr:rowOff>0</xdr:rowOff>
    </xdr:from>
    <xdr:to>
      <xdr:col>8</xdr:col>
      <xdr:colOff>0</xdr:colOff>
      <xdr:row>28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29</xdr:row>
      <xdr:rowOff>0</xdr:rowOff>
    </xdr:from>
    <xdr:to>
      <xdr:col>8</xdr:col>
      <xdr:colOff>0</xdr:colOff>
      <xdr:row>45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Perfil" displayName="tblPerfil" ref="A1:B13">
  <tableColumns count="2">
    <tableColumn id="1" xr3:uid="{00000000-0010-0000-0000-000001000000}" name="Campo"/>
    <tableColumn id="2" xr3:uid="{00000000-0010-0000-0000-000002000000}" name="Informação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lRecolhimentos" displayName="tblRecolhimentos" ref="A1:I25">
  <tableColumns count="9">
    <tableColumn id="1" xr3:uid="{00000000-0010-0000-0100-000001000000}" name="Competência"/>
    <tableColumn id="2" xr3:uid="{00000000-0010-0000-0100-000002000000}" name="Folha declarada (R$)"/>
    <tableColumn id="3" xr3:uid="{00000000-0010-0000-0100-000003000000}" name="Base previdenciária declarada (R$)"/>
    <tableColumn id="4" xr3:uid="{00000000-0010-0000-0100-000004000000}" name="Contribuição estimada devida (R$)"/>
    <tableColumn id="5" xr3:uid="{00000000-0010-0000-0100-000005000000}" name="Valor recolhido (R$)"/>
    <tableColumn id="6" xr3:uid="{00000000-0010-0000-0100-000006000000}" name="Diferença (R$)"/>
    <tableColumn id="7" xr3:uid="{00000000-0010-0000-0100-000007000000}" name="Status"/>
    <tableColumn id="8" xr3:uid="{00000000-0010-0000-0100-000008000000}" name="Dias de atraso"/>
    <tableColumn id="9" xr3:uid="{00000000-0010-0000-0100-000009000000}" name="Observação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blAbsenteismo" displayName="tblAbsenteismo" ref="A1:J13">
  <tableColumns count="10">
    <tableColumn id="1" xr3:uid="{00000000-0010-0000-0200-000001000000}" name="Mês"/>
    <tableColumn id="2" xr3:uid="{00000000-0010-0000-0200-000002000000}" name="Administrativo %"/>
    <tableColumn id="3" xr3:uid="{00000000-0010-0000-0200-000003000000}" name="Produção %"/>
    <tableColumn id="4" xr3:uid="{00000000-0010-0000-0200-000004000000}" name="Logística %"/>
    <tableColumn id="5" xr3:uid="{00000000-0010-0000-0200-000005000000}" name="Manutenção %"/>
    <tableColumn id="6" xr3:uid="{00000000-0010-0000-0200-000006000000}" name="Qualidade/P&amp;D %"/>
    <tableColumn id="7" xr3:uid="{00000000-0010-0000-0200-000007000000}" name="Média ponderada %"/>
    <tableColumn id="8" xr3:uid="{00000000-0010-0000-0200-000008000000}" name="Dias de ausência"/>
    <tableColumn id="9" xr3:uid="{00000000-0010-0000-0200-000009000000}" name="Afastamentos &gt;15 dias"/>
    <tableColumn id="10" xr3:uid="{00000000-0010-0000-0200-00000A000000}" name="Possível nexo ocupacional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blSST" displayName="tblSST" ref="A1:F10">
  <tableColumns count="6">
    <tableColumn id="1" xr3:uid="{00000000-0010-0000-0300-000001000000}" name="Indicador"/>
    <tableColumn id="2" xr3:uid="{00000000-0010-0000-0300-000002000000}" name="Valor"/>
    <tableColumn id="3" xr3:uid="{00000000-0010-0000-0300-000003000000}" name="Unidade"/>
    <tableColumn id="4" xr3:uid="{00000000-0010-0000-0300-000004000000}" name="Limite de atenção"/>
    <tableColumn id="5" xr3:uid="{00000000-0010-0000-0300-000005000000}" name="Sinalização"/>
    <tableColumn id="6" xr3:uid="{00000000-0010-0000-0300-000006000000}" name="Comentário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blTerceiros" displayName="tblTerceiros" ref="A1:H6">
  <tableColumns count="8">
    <tableColumn id="1" xr3:uid="{00000000-0010-0000-0400-000001000000}" name="Empresa terceira"/>
    <tableColumn id="2" xr3:uid="{00000000-0010-0000-0400-000002000000}" name="Atividade"/>
    <tableColumn id="3" xr3:uid="{00000000-0010-0000-0400-000003000000}" name="Empregados alocados"/>
    <tableColumn id="4" xr3:uid="{00000000-0010-0000-0400-000004000000}" name="Regularidade previdenciária"/>
    <tableColumn id="5" xr3:uid="{00000000-0010-0000-0400-000005000000}" name="Pendências"/>
    <tableColumn id="6" xr3:uid="{00000000-0010-0000-0400-000006000000}" name="Nível de dependência operacional"/>
    <tableColumn id="7" xr3:uid="{00000000-0010-0000-0400-000007000000}" name="Risco"/>
    <tableColumn id="8" xr3:uid="{00000000-0010-0000-0400-000008000000}" name="Ação recomendada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blContencioso" displayName="tblContencioso" ref="A1:F7">
  <tableColumns count="6">
    <tableColumn id="1" xr3:uid="{00000000-0010-0000-0500-000001000000}" name="Tipo"/>
    <tableColumn id="2" xr3:uid="{00000000-0010-0000-0500-000002000000}" name="Ano"/>
    <tableColumn id="3" xr3:uid="{00000000-0010-0000-0500-000003000000}" name="Descrição"/>
    <tableColumn id="4" xr3:uid="{00000000-0010-0000-0500-000004000000}" name="Valor estimado/provisionado (R$)"/>
    <tableColumn id="5" xr3:uid="{00000000-0010-0000-0500-000005000000}" name="Situação"/>
    <tableColumn id="6" xr3:uid="{00000000-0010-0000-0500-000006000000}" name="Risco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blScoring" displayName="tblScoring" ref="A1:E8">
  <tableColumns count="5">
    <tableColumn id="1" xr3:uid="{00000000-0010-0000-0600-000001000000}" name="Critério"/>
    <tableColumn id="2" xr3:uid="{00000000-0010-0000-0600-000002000000}" name="Peso"/>
    <tableColumn id="3" xr3:uid="{00000000-0010-0000-0600-000003000000}" name="Nota atribuída"/>
    <tableColumn id="4" xr3:uid="{00000000-0010-0000-0600-000004000000}" name="Pontuação ponderada"/>
    <tableColumn id="5" xr3:uid="{00000000-0010-0000-0600-000005000000}" name="Justificativa esperad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2"/>
  <sheetViews>
    <sheetView showGridLines="0" tabSelected="1" workbookViewId="0">
      <selection activeCell="A6" sqref="A6"/>
    </sheetView>
  </sheetViews>
  <sheetFormatPr defaultRowHeight="14.25"/>
  <cols>
    <col min="1" max="1" width="120" customWidth="1"/>
  </cols>
  <sheetData>
    <row r="1" spans="1:1" ht="85.5" customHeight="1"/>
    <row r="2" spans="1:1" ht="58.5" customHeight="1">
      <c r="A2" s="1" t="s">
        <v>0</v>
      </c>
    </row>
    <row r="3" spans="1:1">
      <c r="A3" s="2" t="s">
        <v>1</v>
      </c>
    </row>
    <row r="4" spans="1:1" ht="28.5">
      <c r="A4" s="2" t="s">
        <v>2</v>
      </c>
    </row>
    <row r="5" spans="1:1">
      <c r="A5" s="2" t="s">
        <v>178</v>
      </c>
    </row>
    <row r="6" spans="1:1">
      <c r="A6" s="2" t="s">
        <v>3</v>
      </c>
    </row>
    <row r="7" spans="1:1">
      <c r="A7" s="2" t="s">
        <v>4</v>
      </c>
    </row>
    <row r="8" spans="1:1">
      <c r="A8" s="2" t="s">
        <v>5</v>
      </c>
    </row>
    <row r="9" spans="1:1">
      <c r="A9" s="2" t="s">
        <v>6</v>
      </c>
    </row>
    <row r="10" spans="1:1">
      <c r="A10" s="2" t="s">
        <v>7</v>
      </c>
    </row>
    <row r="11" spans="1:1">
      <c r="A11" s="2" t="s">
        <v>8</v>
      </c>
    </row>
    <row r="12" spans="1:1" ht="42.75">
      <c r="A12" s="2" t="s">
        <v>9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3"/>
  <sheetViews>
    <sheetView showGridLines="0" workbookViewId="0">
      <selection activeCell="B8" sqref="B8"/>
    </sheetView>
  </sheetViews>
  <sheetFormatPr defaultRowHeight="14.25"/>
  <cols>
    <col min="1" max="1" width="27.125" bestFit="1" customWidth="1"/>
    <col min="2" max="2" width="65.75" bestFit="1" customWidth="1"/>
  </cols>
  <sheetData>
    <row r="1" spans="1:2" ht="15">
      <c r="A1" s="3" t="s">
        <v>10</v>
      </c>
      <c r="B1" s="3" t="s">
        <v>11</v>
      </c>
    </row>
    <row r="2" spans="1:2">
      <c r="A2" s="2" t="s">
        <v>12</v>
      </c>
      <c r="B2" s="2" t="s">
        <v>13</v>
      </c>
    </row>
    <row r="3" spans="1:2">
      <c r="A3" s="2" t="s">
        <v>14</v>
      </c>
      <c r="B3" s="2" t="s">
        <v>15</v>
      </c>
    </row>
    <row r="4" spans="1:2">
      <c r="A4" s="2" t="s">
        <v>16</v>
      </c>
      <c r="B4" s="2" t="s">
        <v>17</v>
      </c>
    </row>
    <row r="5" spans="1:2">
      <c r="A5" s="2" t="s">
        <v>18</v>
      </c>
      <c r="B5" s="2" t="s">
        <v>19</v>
      </c>
    </row>
    <row r="6" spans="1:2">
      <c r="A6" s="2" t="s">
        <v>20</v>
      </c>
      <c r="B6" s="2">
        <v>1240</v>
      </c>
    </row>
    <row r="7" spans="1:2">
      <c r="A7" s="2" t="s">
        <v>21</v>
      </c>
      <c r="B7" s="4">
        <v>386</v>
      </c>
    </row>
    <row r="8" spans="1:2">
      <c r="A8" s="2" t="s">
        <v>22</v>
      </c>
      <c r="B8" s="5">
        <v>612000000</v>
      </c>
    </row>
    <row r="9" spans="1:2">
      <c r="A9" s="2" t="s">
        <v>23</v>
      </c>
      <c r="B9" s="5">
        <v>74000000</v>
      </c>
    </row>
    <row r="10" spans="1:2">
      <c r="A10" s="2" t="s">
        <v>24</v>
      </c>
      <c r="B10" s="5">
        <v>18</v>
      </c>
    </row>
    <row r="11" spans="1:2">
      <c r="A11" s="2" t="s">
        <v>25</v>
      </c>
      <c r="B11" s="5">
        <v>85000000</v>
      </c>
    </row>
    <row r="12" spans="1:2">
      <c r="A12" s="2" t="s">
        <v>26</v>
      </c>
      <c r="B12" s="2" t="s">
        <v>27</v>
      </c>
    </row>
    <row r="13" spans="1:2" ht="42.75">
      <c r="A13" s="2" t="s">
        <v>28</v>
      </c>
      <c r="B13" s="2" t="s">
        <v>29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5"/>
  <sheetViews>
    <sheetView showGridLines="0" workbookViewId="0">
      <selection activeCell="G24" sqref="G24"/>
    </sheetView>
  </sheetViews>
  <sheetFormatPr defaultRowHeight="14.25"/>
  <cols>
    <col min="1" max="1" width="14" customWidth="1"/>
    <col min="2" max="2" width="20" customWidth="1"/>
    <col min="3" max="4" width="24" customWidth="1"/>
    <col min="5" max="5" width="20" customWidth="1"/>
    <col min="6" max="6" width="16" customWidth="1"/>
    <col min="7" max="7" width="20" customWidth="1"/>
    <col min="8" max="8" width="14" customWidth="1"/>
    <col min="9" max="9" width="55" customWidth="1"/>
  </cols>
  <sheetData>
    <row r="1" spans="1:9" ht="30">
      <c r="A1" s="6" t="s">
        <v>30</v>
      </c>
      <c r="B1" s="7" t="s">
        <v>31</v>
      </c>
      <c r="C1" s="7" t="s">
        <v>32</v>
      </c>
      <c r="D1" s="7" t="s">
        <v>33</v>
      </c>
      <c r="E1" s="7" t="s">
        <v>34</v>
      </c>
      <c r="F1" s="7" t="s">
        <v>35</v>
      </c>
      <c r="G1" s="3" t="s">
        <v>36</v>
      </c>
      <c r="H1" s="8" t="s">
        <v>37</v>
      </c>
      <c r="I1" s="3" t="s">
        <v>38</v>
      </c>
    </row>
    <row r="2" spans="1:9">
      <c r="A2">
        <v>45292</v>
      </c>
      <c r="B2">
        <v>6500000</v>
      </c>
      <c r="C2">
        <v>6500000</v>
      </c>
      <c r="D2">
        <v>1560000</v>
      </c>
      <c r="E2">
        <v>1560000</v>
      </c>
      <c r="F2">
        <v>0</v>
      </c>
      <c r="G2" t="s">
        <v>39</v>
      </c>
      <c r="H2">
        <v>0</v>
      </c>
      <c r="I2" t="s">
        <v>40</v>
      </c>
    </row>
    <row r="3" spans="1:9">
      <c r="A3">
        <v>45323</v>
      </c>
      <c r="B3">
        <v>6580000</v>
      </c>
      <c r="C3">
        <v>6580000</v>
      </c>
      <c r="D3">
        <v>1579200</v>
      </c>
      <c r="E3">
        <v>1579200</v>
      </c>
      <c r="F3">
        <v>0</v>
      </c>
      <c r="G3" t="s">
        <v>39</v>
      </c>
      <c r="H3">
        <v>0</v>
      </c>
      <c r="I3" t="s">
        <v>40</v>
      </c>
    </row>
    <row r="4" spans="1:9">
      <c r="A4">
        <v>45352</v>
      </c>
      <c r="B4">
        <v>6660000</v>
      </c>
      <c r="C4">
        <v>6510000</v>
      </c>
      <c r="D4">
        <v>1562400</v>
      </c>
      <c r="E4">
        <v>1212400</v>
      </c>
      <c r="F4">
        <v>350000</v>
      </c>
      <c r="G4" t="s">
        <v>41</v>
      </c>
      <c r="H4">
        <v>18</v>
      </c>
      <c r="I4" t="s">
        <v>42</v>
      </c>
    </row>
    <row r="5" spans="1:9">
      <c r="A5">
        <v>45383</v>
      </c>
      <c r="B5">
        <v>6740000</v>
      </c>
      <c r="C5">
        <v>6740000</v>
      </c>
      <c r="D5">
        <v>1617600</v>
      </c>
      <c r="E5">
        <v>1617600</v>
      </c>
      <c r="F5">
        <v>0</v>
      </c>
      <c r="G5" t="s">
        <v>39</v>
      </c>
      <c r="H5">
        <v>0</v>
      </c>
      <c r="I5" t="s">
        <v>40</v>
      </c>
    </row>
    <row r="6" spans="1:9">
      <c r="A6">
        <v>45413</v>
      </c>
      <c r="B6">
        <v>6820000</v>
      </c>
      <c r="C6">
        <v>6670000</v>
      </c>
      <c r="D6">
        <v>1600800</v>
      </c>
      <c r="E6">
        <v>1180800</v>
      </c>
      <c r="F6">
        <v>420000</v>
      </c>
      <c r="G6" t="s">
        <v>41</v>
      </c>
      <c r="H6">
        <v>27</v>
      </c>
      <c r="I6" t="s">
        <v>42</v>
      </c>
    </row>
    <row r="7" spans="1:9">
      <c r="A7">
        <v>45444</v>
      </c>
      <c r="B7">
        <v>6900000</v>
      </c>
      <c r="C7">
        <v>6900000</v>
      </c>
      <c r="D7">
        <v>1656000</v>
      </c>
      <c r="E7">
        <v>1126000</v>
      </c>
      <c r="F7">
        <v>530000</v>
      </c>
      <c r="G7" t="s">
        <v>43</v>
      </c>
      <c r="H7">
        <v>74</v>
      </c>
      <c r="I7" t="s">
        <v>44</v>
      </c>
    </row>
    <row r="8" spans="1:9">
      <c r="A8">
        <v>45474</v>
      </c>
      <c r="B8">
        <v>6620000</v>
      </c>
      <c r="C8">
        <v>6620000</v>
      </c>
      <c r="D8">
        <v>1588800</v>
      </c>
      <c r="E8">
        <v>1588800</v>
      </c>
      <c r="F8">
        <v>0</v>
      </c>
      <c r="G8" t="s">
        <v>39</v>
      </c>
      <c r="H8">
        <v>0</v>
      </c>
      <c r="I8" t="s">
        <v>40</v>
      </c>
    </row>
    <row r="9" spans="1:9">
      <c r="A9">
        <v>45505</v>
      </c>
      <c r="B9">
        <v>6700000</v>
      </c>
      <c r="C9">
        <v>6700000</v>
      </c>
      <c r="D9">
        <v>1608000</v>
      </c>
      <c r="E9">
        <v>1608000</v>
      </c>
      <c r="F9">
        <v>0</v>
      </c>
      <c r="G9" t="s">
        <v>39</v>
      </c>
      <c r="H9">
        <v>0</v>
      </c>
      <c r="I9" t="s">
        <v>40</v>
      </c>
    </row>
    <row r="10" spans="1:9">
      <c r="A10">
        <v>45536</v>
      </c>
      <c r="B10">
        <v>6780000</v>
      </c>
      <c r="C10">
        <v>6630000</v>
      </c>
      <c r="D10">
        <v>1591200</v>
      </c>
      <c r="E10">
        <v>1281200</v>
      </c>
      <c r="F10">
        <v>310000</v>
      </c>
      <c r="G10" t="s">
        <v>41</v>
      </c>
      <c r="H10">
        <v>33</v>
      </c>
      <c r="I10" t="s">
        <v>42</v>
      </c>
    </row>
    <row r="11" spans="1:9">
      <c r="A11">
        <v>45566</v>
      </c>
      <c r="B11">
        <v>6860000</v>
      </c>
      <c r="C11">
        <v>6860000</v>
      </c>
      <c r="D11">
        <v>1646400</v>
      </c>
      <c r="E11">
        <v>1646400</v>
      </c>
      <c r="F11">
        <v>0</v>
      </c>
      <c r="G11" t="s">
        <v>39</v>
      </c>
      <c r="H11">
        <v>0</v>
      </c>
      <c r="I11" t="s">
        <v>40</v>
      </c>
    </row>
    <row r="12" spans="1:9">
      <c r="A12">
        <v>45597</v>
      </c>
      <c r="B12">
        <v>6940000</v>
      </c>
      <c r="C12">
        <v>6690000</v>
      </c>
      <c r="D12">
        <v>1605600</v>
      </c>
      <c r="E12">
        <v>985600</v>
      </c>
      <c r="F12">
        <v>620000</v>
      </c>
      <c r="G12" t="s">
        <v>45</v>
      </c>
      <c r="H12">
        <v>120</v>
      </c>
      <c r="I12" t="s">
        <v>46</v>
      </c>
    </row>
    <row r="13" spans="1:9">
      <c r="A13">
        <v>45627</v>
      </c>
      <c r="B13">
        <v>7020000</v>
      </c>
      <c r="C13">
        <v>7020000</v>
      </c>
      <c r="D13">
        <v>1684800</v>
      </c>
      <c r="E13">
        <v>1684800</v>
      </c>
      <c r="F13">
        <v>0</v>
      </c>
      <c r="G13" t="s">
        <v>39</v>
      </c>
      <c r="H13">
        <v>0</v>
      </c>
      <c r="I13" t="s">
        <v>40</v>
      </c>
    </row>
    <row r="14" spans="1:9">
      <c r="A14">
        <v>45658</v>
      </c>
      <c r="B14">
        <v>6740000</v>
      </c>
      <c r="C14">
        <v>6740000</v>
      </c>
      <c r="D14">
        <v>1617600</v>
      </c>
      <c r="E14">
        <v>1617600</v>
      </c>
      <c r="F14">
        <v>0</v>
      </c>
      <c r="G14" t="s">
        <v>39</v>
      </c>
      <c r="H14">
        <v>0</v>
      </c>
      <c r="I14" t="s">
        <v>40</v>
      </c>
    </row>
    <row r="15" spans="1:9">
      <c r="A15">
        <v>45689</v>
      </c>
      <c r="B15">
        <v>6820000</v>
      </c>
      <c r="C15">
        <v>6670000</v>
      </c>
      <c r="D15">
        <v>1600800</v>
      </c>
      <c r="E15">
        <v>1320800</v>
      </c>
      <c r="F15">
        <v>280000</v>
      </c>
      <c r="G15" t="s">
        <v>41</v>
      </c>
      <c r="H15">
        <v>22</v>
      </c>
      <c r="I15" t="s">
        <v>42</v>
      </c>
    </row>
    <row r="16" spans="1:9">
      <c r="A16">
        <v>45717</v>
      </c>
      <c r="B16">
        <v>6900000</v>
      </c>
      <c r="C16">
        <v>6900000</v>
      </c>
      <c r="D16">
        <v>1656000</v>
      </c>
      <c r="E16">
        <v>1656000</v>
      </c>
      <c r="F16">
        <v>0</v>
      </c>
      <c r="G16" t="s">
        <v>39</v>
      </c>
      <c r="H16">
        <v>0</v>
      </c>
      <c r="I16" t="s">
        <v>40</v>
      </c>
    </row>
    <row r="17" spans="1:9">
      <c r="A17">
        <v>45748</v>
      </c>
      <c r="B17">
        <v>6980000</v>
      </c>
      <c r="C17">
        <v>6980000</v>
      </c>
      <c r="D17">
        <v>1675200</v>
      </c>
      <c r="E17">
        <v>1215200</v>
      </c>
      <c r="F17">
        <v>460000</v>
      </c>
      <c r="G17" t="s">
        <v>43</v>
      </c>
      <c r="H17">
        <v>81</v>
      </c>
      <c r="I17" t="s">
        <v>44</v>
      </c>
    </row>
    <row r="18" spans="1:9">
      <c r="A18">
        <v>45778</v>
      </c>
      <c r="B18">
        <v>7060000</v>
      </c>
      <c r="C18">
        <v>7060000</v>
      </c>
      <c r="D18">
        <v>1694400</v>
      </c>
      <c r="E18">
        <v>1694400</v>
      </c>
      <c r="F18">
        <v>0</v>
      </c>
      <c r="G18" t="s">
        <v>39</v>
      </c>
      <c r="H18">
        <v>0</v>
      </c>
      <c r="I18" t="s">
        <v>40</v>
      </c>
    </row>
    <row r="19" spans="1:9">
      <c r="A19">
        <v>45809</v>
      </c>
      <c r="B19">
        <v>7140000</v>
      </c>
      <c r="C19">
        <v>6990000</v>
      </c>
      <c r="D19">
        <v>1677600</v>
      </c>
      <c r="E19">
        <v>1437600</v>
      </c>
      <c r="F19">
        <v>240000</v>
      </c>
      <c r="G19" t="s">
        <v>41</v>
      </c>
      <c r="H19">
        <v>19</v>
      </c>
      <c r="I19" t="s">
        <v>42</v>
      </c>
    </row>
    <row r="20" spans="1:9">
      <c r="A20">
        <v>45839</v>
      </c>
      <c r="B20">
        <v>6860000</v>
      </c>
      <c r="C20">
        <v>6860000</v>
      </c>
      <c r="D20">
        <v>1646400</v>
      </c>
      <c r="E20">
        <v>1646400</v>
      </c>
      <c r="F20">
        <v>0</v>
      </c>
      <c r="G20" t="s">
        <v>39</v>
      </c>
      <c r="H20">
        <v>0</v>
      </c>
      <c r="I20" t="s">
        <v>40</v>
      </c>
    </row>
    <row r="21" spans="1:9">
      <c r="A21">
        <v>45870</v>
      </c>
      <c r="B21">
        <v>6940000</v>
      </c>
      <c r="C21">
        <v>6940000</v>
      </c>
      <c r="D21">
        <v>1665600</v>
      </c>
      <c r="E21">
        <v>1275600</v>
      </c>
      <c r="F21">
        <v>390000</v>
      </c>
      <c r="G21" t="s">
        <v>43</v>
      </c>
      <c r="H21">
        <v>67</v>
      </c>
      <c r="I21" t="s">
        <v>44</v>
      </c>
    </row>
    <row r="22" spans="1:9">
      <c r="A22">
        <v>45901</v>
      </c>
      <c r="B22">
        <v>7020000</v>
      </c>
      <c r="C22">
        <v>7020000</v>
      </c>
      <c r="D22">
        <v>1684800</v>
      </c>
      <c r="E22">
        <v>1684800</v>
      </c>
      <c r="F22">
        <v>0</v>
      </c>
      <c r="G22" t="s">
        <v>39</v>
      </c>
      <c r="H22">
        <v>0</v>
      </c>
      <c r="I22" t="s">
        <v>40</v>
      </c>
    </row>
    <row r="23" spans="1:9">
      <c r="A23">
        <v>45931</v>
      </c>
      <c r="B23">
        <v>7100000</v>
      </c>
      <c r="C23">
        <v>6950000</v>
      </c>
      <c r="D23">
        <v>1668000</v>
      </c>
      <c r="E23">
        <v>1368000</v>
      </c>
      <c r="F23">
        <v>300000</v>
      </c>
      <c r="G23" t="s">
        <v>41</v>
      </c>
      <c r="H23">
        <v>25</v>
      </c>
      <c r="I23" t="s">
        <v>42</v>
      </c>
    </row>
    <row r="24" spans="1:9">
      <c r="A24">
        <v>45962</v>
      </c>
      <c r="B24">
        <v>7180000</v>
      </c>
      <c r="C24">
        <v>7180000</v>
      </c>
      <c r="D24">
        <v>1723200</v>
      </c>
      <c r="E24">
        <v>1723200</v>
      </c>
      <c r="F24">
        <v>0</v>
      </c>
      <c r="G24" t="s">
        <v>39</v>
      </c>
      <c r="H24">
        <v>0</v>
      </c>
      <c r="I24" t="s">
        <v>40</v>
      </c>
    </row>
    <row r="25" spans="1:9">
      <c r="A25">
        <v>45992</v>
      </c>
      <c r="B25">
        <v>7260000</v>
      </c>
      <c r="C25">
        <v>7260000</v>
      </c>
      <c r="D25">
        <v>1742400</v>
      </c>
      <c r="E25">
        <v>1742400</v>
      </c>
      <c r="F25">
        <v>0</v>
      </c>
      <c r="G25" t="s">
        <v>39</v>
      </c>
      <c r="H25">
        <v>0</v>
      </c>
      <c r="I25" t="s">
        <v>40</v>
      </c>
    </row>
  </sheetData>
  <conditionalFormatting sqref="F2:F25">
    <cfRule type="cellIs" dxfId="1" priority="1" operator="greaterThan">
      <formula>0</formula>
    </cfRule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3"/>
  <sheetViews>
    <sheetView showGridLines="0" workbookViewId="0">
      <selection activeCell="G24" sqref="G24"/>
    </sheetView>
  </sheetViews>
  <sheetFormatPr defaultRowHeight="14.25"/>
  <cols>
    <col min="1" max="1" width="14" customWidth="1"/>
    <col min="2" max="2" width="16" customWidth="1"/>
    <col min="3" max="5" width="14" customWidth="1"/>
    <col min="6" max="6" width="16" customWidth="1"/>
    <col min="7" max="9" width="18" customWidth="1"/>
    <col min="10" max="10" width="22" customWidth="1"/>
  </cols>
  <sheetData>
    <row r="1" spans="1:10" ht="30">
      <c r="A1" s="6" t="s">
        <v>47</v>
      </c>
      <c r="B1" s="9" t="s">
        <v>48</v>
      </c>
      <c r="C1" s="9" t="s">
        <v>49</v>
      </c>
      <c r="D1" s="9" t="s">
        <v>50</v>
      </c>
      <c r="E1" s="9" t="s">
        <v>51</v>
      </c>
      <c r="F1" s="9" t="s">
        <v>52</v>
      </c>
      <c r="G1" s="9" t="s">
        <v>53</v>
      </c>
      <c r="H1" s="3" t="s">
        <v>54</v>
      </c>
      <c r="I1" s="3" t="s">
        <v>55</v>
      </c>
      <c r="J1" s="3" t="s">
        <v>56</v>
      </c>
    </row>
    <row r="2" spans="1:10">
      <c r="A2">
        <v>45658</v>
      </c>
      <c r="B2" s="10">
        <v>0.02</v>
      </c>
      <c r="C2" s="10">
        <v>7.8E-2</v>
      </c>
      <c r="D2" s="10">
        <v>6.9000000000000006E-2</v>
      </c>
      <c r="E2" s="10">
        <v>5.2000000000000005E-2</v>
      </c>
      <c r="F2" s="10">
        <v>3.1E-2</v>
      </c>
      <c r="G2" s="10">
        <v>5.5999999999999994E-2</v>
      </c>
      <c r="H2">
        <v>1510</v>
      </c>
      <c r="I2">
        <v>6</v>
      </c>
      <c r="J2">
        <v>2</v>
      </c>
    </row>
    <row r="3" spans="1:10">
      <c r="A3">
        <v>45689</v>
      </c>
      <c r="B3" s="10">
        <v>2.1000000000000001E-2</v>
      </c>
      <c r="C3" s="10">
        <v>8.1000000000000003E-2</v>
      </c>
      <c r="D3" s="10">
        <v>7.2999999999999995E-2</v>
      </c>
      <c r="E3" s="10">
        <v>5.5E-2</v>
      </c>
      <c r="F3" s="10">
        <v>3.2000000000000001E-2</v>
      </c>
      <c r="G3" s="10">
        <v>5.9000000000000004E-2</v>
      </c>
      <c r="H3">
        <v>1602</v>
      </c>
      <c r="I3">
        <v>7</v>
      </c>
      <c r="J3">
        <v>2</v>
      </c>
    </row>
    <row r="4" spans="1:10">
      <c r="A4">
        <v>45717</v>
      </c>
      <c r="B4" s="10">
        <v>1.9E-2</v>
      </c>
      <c r="C4" s="10">
        <v>8.3000000000000004E-2</v>
      </c>
      <c r="D4" s="10">
        <v>7.8E-2</v>
      </c>
      <c r="E4" s="10">
        <v>5.7000000000000002E-2</v>
      </c>
      <c r="F4" s="10">
        <v>0.03</v>
      </c>
      <c r="G4" s="10">
        <v>0.06</v>
      </c>
      <c r="H4">
        <v>1628</v>
      </c>
      <c r="I4">
        <v>6</v>
      </c>
      <c r="J4">
        <v>3</v>
      </c>
    </row>
    <row r="5" spans="1:10">
      <c r="A5">
        <v>45748</v>
      </c>
      <c r="B5" s="10">
        <v>2.2000000000000002E-2</v>
      </c>
      <c r="C5" s="10">
        <v>8.6999999999999994E-2</v>
      </c>
      <c r="D5" s="10">
        <v>7.9000000000000001E-2</v>
      </c>
      <c r="E5" s="10">
        <v>6.0999999999999999E-2</v>
      </c>
      <c r="F5" s="10">
        <v>3.4000000000000002E-2</v>
      </c>
      <c r="G5" s="10">
        <v>6.3E-2</v>
      </c>
      <c r="H5">
        <v>1704</v>
      </c>
      <c r="I5">
        <v>8</v>
      </c>
      <c r="J5">
        <v>3</v>
      </c>
    </row>
    <row r="6" spans="1:10">
      <c r="A6">
        <v>45778</v>
      </c>
      <c r="B6" s="10">
        <v>2.4E-2</v>
      </c>
      <c r="C6" s="10">
        <v>9.0999999999999998E-2</v>
      </c>
      <c r="D6" s="10">
        <v>8.199999999999999E-2</v>
      </c>
      <c r="E6" s="10">
        <v>6.3E-2</v>
      </c>
      <c r="F6" s="10">
        <v>3.5000000000000003E-2</v>
      </c>
      <c r="G6" s="10">
        <v>6.6000000000000003E-2</v>
      </c>
      <c r="H6">
        <v>1788</v>
      </c>
      <c r="I6">
        <v>8</v>
      </c>
      <c r="J6">
        <v>3</v>
      </c>
    </row>
    <row r="7" spans="1:10">
      <c r="A7">
        <v>45809</v>
      </c>
      <c r="B7" s="10">
        <v>2.3E-2</v>
      </c>
      <c r="C7" s="10">
        <v>8.900000000000001E-2</v>
      </c>
      <c r="D7" s="10">
        <v>8.1000000000000003E-2</v>
      </c>
      <c r="E7" s="10">
        <v>6.4000000000000001E-2</v>
      </c>
      <c r="F7" s="10">
        <v>3.6000000000000004E-2</v>
      </c>
      <c r="G7" s="10">
        <v>6.5000000000000002E-2</v>
      </c>
      <c r="H7">
        <v>1760</v>
      </c>
      <c r="I7">
        <v>7</v>
      </c>
      <c r="J7">
        <v>2</v>
      </c>
    </row>
    <row r="8" spans="1:10">
      <c r="A8">
        <v>45839</v>
      </c>
      <c r="B8" s="10">
        <v>0.02</v>
      </c>
      <c r="C8" s="10">
        <v>8.4000000000000005E-2</v>
      </c>
      <c r="D8" s="10">
        <v>7.5999999999999998E-2</v>
      </c>
      <c r="E8" s="10">
        <v>5.7999999999999996E-2</v>
      </c>
      <c r="F8" s="10">
        <v>3.3000000000000002E-2</v>
      </c>
      <c r="G8" s="10">
        <v>6.0999999999999999E-2</v>
      </c>
      <c r="H8">
        <v>1655</v>
      </c>
      <c r="I8">
        <v>6</v>
      </c>
      <c r="J8">
        <v>2</v>
      </c>
    </row>
    <row r="9" spans="1:10">
      <c r="A9">
        <v>45870</v>
      </c>
      <c r="B9" s="10">
        <v>2.2000000000000002E-2</v>
      </c>
      <c r="C9" s="10">
        <v>8.5999999999999993E-2</v>
      </c>
      <c r="D9" s="10">
        <v>7.6999999999999999E-2</v>
      </c>
      <c r="E9" s="10">
        <v>0.06</v>
      </c>
      <c r="F9" s="10">
        <v>3.4000000000000002E-2</v>
      </c>
      <c r="G9" s="10">
        <v>6.2E-2</v>
      </c>
      <c r="H9">
        <v>1678</v>
      </c>
      <c r="I9">
        <v>7</v>
      </c>
      <c r="J9">
        <v>3</v>
      </c>
    </row>
    <row r="10" spans="1:10">
      <c r="A10">
        <v>45901</v>
      </c>
      <c r="B10" s="10">
        <v>2.1000000000000001E-2</v>
      </c>
      <c r="C10" s="10">
        <v>8.8000000000000009E-2</v>
      </c>
      <c r="D10" s="10">
        <v>0.08</v>
      </c>
      <c r="E10" s="10">
        <v>6.2E-2</v>
      </c>
      <c r="F10" s="10">
        <v>3.5000000000000003E-2</v>
      </c>
      <c r="G10" s="10">
        <v>6.4000000000000001E-2</v>
      </c>
      <c r="H10">
        <v>1732</v>
      </c>
      <c r="I10">
        <v>8</v>
      </c>
      <c r="J10">
        <v>3</v>
      </c>
    </row>
    <row r="11" spans="1:10">
      <c r="A11">
        <v>45931</v>
      </c>
      <c r="B11" s="10">
        <v>2.2000000000000002E-2</v>
      </c>
      <c r="C11" s="10">
        <v>0.09</v>
      </c>
      <c r="D11" s="10">
        <v>8.3000000000000004E-2</v>
      </c>
      <c r="E11" s="10">
        <v>6.5000000000000002E-2</v>
      </c>
      <c r="F11" s="10">
        <v>3.7000000000000005E-2</v>
      </c>
      <c r="G11" s="10">
        <v>6.7000000000000004E-2</v>
      </c>
      <c r="H11">
        <v>1810</v>
      </c>
      <c r="I11">
        <v>9</v>
      </c>
      <c r="J11">
        <v>4</v>
      </c>
    </row>
    <row r="12" spans="1:10">
      <c r="A12">
        <v>45962</v>
      </c>
      <c r="B12" s="10">
        <v>0.02</v>
      </c>
      <c r="C12" s="10">
        <v>8.5000000000000006E-2</v>
      </c>
      <c r="D12" s="10">
        <v>7.8E-2</v>
      </c>
      <c r="E12" s="10">
        <v>0.06</v>
      </c>
      <c r="F12" s="10">
        <v>3.4000000000000002E-2</v>
      </c>
      <c r="G12" s="10">
        <v>6.2E-2</v>
      </c>
      <c r="H12">
        <v>1688</v>
      </c>
      <c r="I12">
        <v>7</v>
      </c>
      <c r="J12">
        <v>2</v>
      </c>
    </row>
    <row r="13" spans="1:10">
      <c r="A13">
        <v>45992</v>
      </c>
      <c r="B13" s="10">
        <v>2.1000000000000001E-2</v>
      </c>
      <c r="C13" s="10">
        <v>8.900000000000001E-2</v>
      </c>
      <c r="D13" s="10">
        <v>8.1000000000000003E-2</v>
      </c>
      <c r="E13" s="10">
        <v>6.4000000000000001E-2</v>
      </c>
      <c r="F13" s="10">
        <v>3.6000000000000004E-2</v>
      </c>
      <c r="G13" s="10">
        <v>6.5000000000000002E-2</v>
      </c>
      <c r="H13">
        <v>1765</v>
      </c>
      <c r="I13">
        <v>7</v>
      </c>
      <c r="J13">
        <v>2</v>
      </c>
    </row>
  </sheetData>
  <conditionalFormatting sqref="G2:G13">
    <cfRule type="cellIs" dxfId="0" priority="1" operator="greaterThan">
      <formula>0.06</formula>
    </cfRule>
  </conditionalFormatting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0"/>
  <sheetViews>
    <sheetView showGridLines="0" workbookViewId="0">
      <selection activeCell="G24" sqref="G24"/>
    </sheetView>
  </sheetViews>
  <sheetFormatPr defaultRowHeight="14.25"/>
  <cols>
    <col min="1" max="1" width="36" customWidth="1"/>
    <col min="2" max="2" width="14" customWidth="1"/>
    <col min="3" max="3" width="24" customWidth="1"/>
    <col min="4" max="4" width="18" customWidth="1"/>
    <col min="5" max="5" width="16" customWidth="1"/>
    <col min="6" max="6" width="60" customWidth="1"/>
  </cols>
  <sheetData>
    <row r="1" spans="1:6" ht="15">
      <c r="A1" s="3" t="s">
        <v>57</v>
      </c>
      <c r="B1" s="11" t="s">
        <v>58</v>
      </c>
      <c r="C1" s="3" t="s">
        <v>59</v>
      </c>
      <c r="D1" s="11" t="s">
        <v>60</v>
      </c>
      <c r="E1" s="3" t="s">
        <v>61</v>
      </c>
      <c r="F1" s="3" t="s">
        <v>62</v>
      </c>
    </row>
    <row r="2" spans="1:6">
      <c r="A2" t="s">
        <v>63</v>
      </c>
      <c r="B2">
        <v>37</v>
      </c>
      <c r="C2" t="s">
        <v>64</v>
      </c>
      <c r="D2">
        <v>25</v>
      </c>
      <c r="E2" t="s">
        <v>65</v>
      </c>
      <c r="F2" t="s">
        <v>66</v>
      </c>
    </row>
    <row r="3" spans="1:6">
      <c r="A3" t="s">
        <v>67</v>
      </c>
      <c r="B3">
        <v>22</v>
      </c>
      <c r="C3" t="s">
        <v>64</v>
      </c>
      <c r="D3">
        <v>30</v>
      </c>
      <c r="E3" t="s">
        <v>68</v>
      </c>
      <c r="F3" t="s">
        <v>69</v>
      </c>
    </row>
    <row r="4" spans="1:6">
      <c r="A4" t="s">
        <v>70</v>
      </c>
      <c r="B4">
        <v>9</v>
      </c>
      <c r="C4" t="s">
        <v>64</v>
      </c>
      <c r="D4">
        <v>0</v>
      </c>
      <c r="E4" t="s">
        <v>71</v>
      </c>
      <c r="F4" t="s">
        <v>72</v>
      </c>
    </row>
    <row r="5" spans="1:6">
      <c r="A5" t="s">
        <v>73</v>
      </c>
      <c r="B5">
        <v>5.8</v>
      </c>
      <c r="C5" t="s">
        <v>74</v>
      </c>
      <c r="D5">
        <v>4</v>
      </c>
      <c r="E5" t="s">
        <v>65</v>
      </c>
      <c r="F5" t="s">
        <v>75</v>
      </c>
    </row>
    <row r="6" spans="1:6">
      <c r="A6" t="s">
        <v>76</v>
      </c>
      <c r="B6">
        <v>224</v>
      </c>
      <c r="C6" t="s">
        <v>77</v>
      </c>
      <c r="D6">
        <v>180</v>
      </c>
      <c r="E6" t="s">
        <v>65</v>
      </c>
      <c r="F6" t="s">
        <v>78</v>
      </c>
    </row>
    <row r="7" spans="1:6">
      <c r="A7" t="s">
        <v>79</v>
      </c>
      <c r="B7">
        <v>142</v>
      </c>
      <c r="C7" t="s">
        <v>64</v>
      </c>
      <c r="D7">
        <v>100</v>
      </c>
      <c r="E7" t="s">
        <v>68</v>
      </c>
      <c r="F7" t="s">
        <v>80</v>
      </c>
    </row>
    <row r="8" spans="1:6">
      <c r="A8" t="s">
        <v>81</v>
      </c>
      <c r="B8">
        <v>96</v>
      </c>
      <c r="C8" t="s">
        <v>82</v>
      </c>
      <c r="D8">
        <v>96</v>
      </c>
      <c r="E8" t="s">
        <v>83</v>
      </c>
      <c r="F8" t="s">
        <v>84</v>
      </c>
    </row>
    <row r="9" spans="1:6">
      <c r="A9" t="s">
        <v>85</v>
      </c>
      <c r="B9">
        <v>61</v>
      </c>
      <c r="C9" t="s">
        <v>82</v>
      </c>
      <c r="D9">
        <v>96</v>
      </c>
      <c r="E9" t="s">
        <v>86</v>
      </c>
      <c r="F9" t="s">
        <v>87</v>
      </c>
    </row>
    <row r="10" spans="1:6">
      <c r="A10" t="s">
        <v>88</v>
      </c>
      <c r="B10">
        <v>0.18</v>
      </c>
      <c r="C10" t="s">
        <v>89</v>
      </c>
      <c r="D10">
        <v>0.05</v>
      </c>
      <c r="E10" t="s">
        <v>71</v>
      </c>
      <c r="F10" t="s">
        <v>90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6"/>
  <sheetViews>
    <sheetView showGridLines="0" workbookViewId="0">
      <selection activeCell="G24" sqref="G24"/>
    </sheetView>
  </sheetViews>
  <sheetFormatPr defaultRowHeight="14.25"/>
  <cols>
    <col min="1" max="1" width="30" customWidth="1"/>
    <col min="2" max="2" width="32" customWidth="1"/>
    <col min="3" max="3" width="18" customWidth="1"/>
    <col min="4" max="4" width="22" customWidth="1"/>
    <col min="5" max="5" width="58" customWidth="1"/>
    <col min="6" max="6" width="22" customWidth="1"/>
    <col min="7" max="7" width="12" customWidth="1"/>
    <col min="8" max="8" width="55" customWidth="1"/>
  </cols>
  <sheetData>
    <row r="1" spans="1:8" ht="30">
      <c r="A1" s="3" t="s">
        <v>91</v>
      </c>
      <c r="B1" s="3" t="s">
        <v>92</v>
      </c>
      <c r="C1" s="3" t="s">
        <v>93</v>
      </c>
      <c r="D1" s="3" t="s">
        <v>94</v>
      </c>
      <c r="E1" s="3" t="s">
        <v>95</v>
      </c>
      <c r="F1" s="3" t="s">
        <v>96</v>
      </c>
      <c r="G1" s="3" t="s">
        <v>97</v>
      </c>
      <c r="H1" s="3" t="s">
        <v>98</v>
      </c>
    </row>
    <row r="2" spans="1:8">
      <c r="A2" t="s">
        <v>99</v>
      </c>
      <c r="B2" t="s">
        <v>100</v>
      </c>
      <c r="C2">
        <v>96</v>
      </c>
      <c r="D2" t="s">
        <v>41</v>
      </c>
      <c r="E2" t="s">
        <v>101</v>
      </c>
      <c r="F2" t="s">
        <v>102</v>
      </c>
      <c r="G2" t="s">
        <v>65</v>
      </c>
      <c r="H2" t="s">
        <v>103</v>
      </c>
    </row>
    <row r="3" spans="1:8">
      <c r="A3" t="s">
        <v>104</v>
      </c>
      <c r="B3" t="s">
        <v>105</v>
      </c>
      <c r="C3">
        <v>118</v>
      </c>
      <c r="D3" t="s">
        <v>86</v>
      </c>
      <c r="E3" t="s">
        <v>106</v>
      </c>
      <c r="F3" t="s">
        <v>102</v>
      </c>
      <c r="G3" t="s">
        <v>65</v>
      </c>
      <c r="H3" t="s">
        <v>107</v>
      </c>
    </row>
    <row r="4" spans="1:8">
      <c r="A4" t="s">
        <v>108</v>
      </c>
      <c r="B4" t="s">
        <v>109</v>
      </c>
      <c r="C4">
        <v>74</v>
      </c>
      <c r="D4" t="s">
        <v>110</v>
      </c>
      <c r="E4" t="s">
        <v>111</v>
      </c>
      <c r="F4" t="s">
        <v>112</v>
      </c>
      <c r="G4" t="s">
        <v>113</v>
      </c>
      <c r="H4" t="s">
        <v>114</v>
      </c>
    </row>
    <row r="5" spans="1:8">
      <c r="A5" t="s">
        <v>115</v>
      </c>
      <c r="B5" t="s">
        <v>116</v>
      </c>
      <c r="C5">
        <v>58</v>
      </c>
      <c r="D5" t="s">
        <v>110</v>
      </c>
      <c r="E5" t="s">
        <v>117</v>
      </c>
      <c r="F5" t="s">
        <v>112</v>
      </c>
      <c r="G5" t="s">
        <v>113</v>
      </c>
      <c r="H5" t="s">
        <v>118</v>
      </c>
    </row>
    <row r="6" spans="1:8">
      <c r="A6" t="s">
        <v>119</v>
      </c>
      <c r="B6" t="s">
        <v>120</v>
      </c>
      <c r="C6">
        <v>40</v>
      </c>
      <c r="D6" t="s">
        <v>110</v>
      </c>
      <c r="E6" t="s">
        <v>121</v>
      </c>
      <c r="F6" t="s">
        <v>112</v>
      </c>
      <c r="G6" t="s">
        <v>122</v>
      </c>
      <c r="H6" t="s">
        <v>123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7"/>
  <sheetViews>
    <sheetView showGridLines="0" workbookViewId="0">
      <selection activeCell="G24" sqref="G24"/>
    </sheetView>
  </sheetViews>
  <sheetFormatPr defaultRowHeight="14.25"/>
  <cols>
    <col min="1" max="1" width="28" customWidth="1"/>
    <col min="2" max="2" width="12" customWidth="1"/>
    <col min="3" max="3" width="65" customWidth="1"/>
    <col min="4" max="4" width="24" customWidth="1"/>
    <col min="5" max="5" width="28" customWidth="1"/>
    <col min="6" max="6" width="14" customWidth="1"/>
  </cols>
  <sheetData>
    <row r="1" spans="1:6" ht="45">
      <c r="A1" s="3" t="s">
        <v>124</v>
      </c>
      <c r="B1" s="3" t="s">
        <v>125</v>
      </c>
      <c r="C1" s="3" t="s">
        <v>126</v>
      </c>
      <c r="D1" s="7" t="s">
        <v>127</v>
      </c>
      <c r="E1" s="3" t="s">
        <v>128</v>
      </c>
      <c r="F1" s="3" t="s">
        <v>97</v>
      </c>
    </row>
    <row r="2" spans="1:6">
      <c r="A2" t="s">
        <v>129</v>
      </c>
      <c r="B2">
        <v>2022</v>
      </c>
      <c r="C2" t="s">
        <v>130</v>
      </c>
      <c r="D2">
        <v>740000</v>
      </c>
      <c r="E2" t="s">
        <v>131</v>
      </c>
      <c r="F2" t="s">
        <v>122</v>
      </c>
    </row>
    <row r="3" spans="1:6">
      <c r="A3" t="s">
        <v>132</v>
      </c>
      <c r="B3">
        <v>2023</v>
      </c>
      <c r="C3" t="s">
        <v>133</v>
      </c>
      <c r="D3">
        <v>1200000</v>
      </c>
      <c r="E3" t="s">
        <v>134</v>
      </c>
      <c r="F3" t="s">
        <v>65</v>
      </c>
    </row>
    <row r="4" spans="1:6">
      <c r="A4" t="s">
        <v>135</v>
      </c>
      <c r="B4">
        <v>2024</v>
      </c>
      <c r="C4" t="s">
        <v>136</v>
      </c>
      <c r="D4">
        <v>0</v>
      </c>
      <c r="E4" t="s">
        <v>137</v>
      </c>
      <c r="F4" t="s">
        <v>122</v>
      </c>
    </row>
    <row r="5" spans="1:6">
      <c r="A5" t="s">
        <v>138</v>
      </c>
      <c r="B5">
        <v>2025</v>
      </c>
      <c r="C5" t="s">
        <v>139</v>
      </c>
      <c r="D5">
        <v>9600000</v>
      </c>
      <c r="E5" t="s">
        <v>140</v>
      </c>
      <c r="F5" t="s">
        <v>65</v>
      </c>
    </row>
    <row r="6" spans="1:6">
      <c r="A6" t="s">
        <v>141</v>
      </c>
      <c r="B6">
        <v>2025</v>
      </c>
      <c r="C6" t="s">
        <v>142</v>
      </c>
      <c r="D6">
        <v>14800000</v>
      </c>
      <c r="E6" t="s">
        <v>143</v>
      </c>
      <c r="F6" t="s">
        <v>65</v>
      </c>
    </row>
    <row r="7" spans="1:6">
      <c r="A7" t="s">
        <v>144</v>
      </c>
      <c r="B7">
        <v>2025</v>
      </c>
      <c r="C7" t="s">
        <v>145</v>
      </c>
      <c r="D7">
        <v>5200000</v>
      </c>
      <c r="E7" t="s">
        <v>146</v>
      </c>
      <c r="F7" t="s">
        <v>65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8"/>
  <sheetViews>
    <sheetView showGridLines="0" workbookViewId="0">
      <selection activeCell="G24" sqref="G24"/>
    </sheetView>
  </sheetViews>
  <sheetFormatPr defaultRowHeight="14.25"/>
  <cols>
    <col min="1" max="1" width="42" customWidth="1"/>
    <col min="2" max="2" width="12" customWidth="1"/>
    <col min="3" max="3" width="16" customWidth="1"/>
    <col min="4" max="4" width="20" customWidth="1"/>
    <col min="5" max="5" width="70" customWidth="1"/>
  </cols>
  <sheetData>
    <row r="1" spans="1:5" ht="30">
      <c r="A1" s="3" t="s">
        <v>147</v>
      </c>
      <c r="B1" s="13" t="s">
        <v>148</v>
      </c>
      <c r="C1" s="13" t="s">
        <v>149</v>
      </c>
      <c r="D1" s="13" t="s">
        <v>150</v>
      </c>
      <c r="E1" s="3" t="s">
        <v>151</v>
      </c>
    </row>
    <row r="2" spans="1:5">
      <c r="A2" t="s">
        <v>152</v>
      </c>
      <c r="B2">
        <v>20</v>
      </c>
      <c r="C2">
        <v>14</v>
      </c>
      <c r="D2">
        <f t="shared" ref="D2:D7" si="0">B2*C2/20</f>
        <v>14</v>
      </c>
      <c r="E2" s="2" t="s">
        <v>153</v>
      </c>
    </row>
    <row r="3" spans="1:5">
      <c r="A3" t="s">
        <v>154</v>
      </c>
      <c r="B3">
        <v>20</v>
      </c>
      <c r="C3">
        <v>12</v>
      </c>
      <c r="D3">
        <f t="shared" si="0"/>
        <v>12</v>
      </c>
      <c r="E3" s="2" t="s">
        <v>155</v>
      </c>
    </row>
    <row r="4" spans="1:5">
      <c r="A4" t="s">
        <v>156</v>
      </c>
      <c r="B4">
        <v>20</v>
      </c>
      <c r="C4">
        <v>13</v>
      </c>
      <c r="D4">
        <f t="shared" si="0"/>
        <v>13</v>
      </c>
      <c r="E4" s="2" t="s">
        <v>157</v>
      </c>
    </row>
    <row r="5" spans="1:5">
      <c r="A5" t="s">
        <v>158</v>
      </c>
      <c r="B5">
        <v>15</v>
      </c>
      <c r="C5">
        <v>10</v>
      </c>
      <c r="D5">
        <f t="shared" si="0"/>
        <v>7.5</v>
      </c>
      <c r="E5" s="2" t="s">
        <v>159</v>
      </c>
    </row>
    <row r="6" spans="1:5">
      <c r="A6" t="s">
        <v>160</v>
      </c>
      <c r="B6">
        <v>15</v>
      </c>
      <c r="C6">
        <v>9</v>
      </c>
      <c r="D6">
        <f t="shared" si="0"/>
        <v>6.75</v>
      </c>
      <c r="E6" s="2" t="s">
        <v>161</v>
      </c>
    </row>
    <row r="7" spans="1:5">
      <c r="A7" t="s">
        <v>162</v>
      </c>
      <c r="B7">
        <v>10</v>
      </c>
      <c r="C7">
        <v>15</v>
      </c>
      <c r="D7">
        <f t="shared" si="0"/>
        <v>7.5</v>
      </c>
      <c r="E7" s="2" t="s">
        <v>163</v>
      </c>
    </row>
    <row r="8" spans="1:5" ht="30">
      <c r="A8" s="12" t="s">
        <v>164</v>
      </c>
      <c r="B8" s="12">
        <v>100</v>
      </c>
      <c r="C8" s="12"/>
      <c r="D8" s="12">
        <f>SUM(D2:D7)</f>
        <v>60.75</v>
      </c>
      <c r="E8" s="16" t="s">
        <v>165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11"/>
  <sheetViews>
    <sheetView showGridLines="0" topLeftCell="A2" workbookViewId="0">
      <selection activeCell="D2" sqref="D2"/>
    </sheetView>
  </sheetViews>
  <sheetFormatPr defaultRowHeight="14.25"/>
  <cols>
    <col min="1" max="1" width="38" customWidth="1"/>
    <col min="2" max="2" width="28" customWidth="1"/>
    <col min="4" max="4" width="85" customWidth="1"/>
  </cols>
  <sheetData>
    <row r="1" spans="1:4" ht="36">
      <c r="A1" s="1" t="s">
        <v>166</v>
      </c>
      <c r="B1" s="1"/>
      <c r="D1" s="1" t="s">
        <v>177</v>
      </c>
    </row>
    <row r="2" spans="1:4" ht="28.5">
      <c r="A2" s="3" t="s">
        <v>57</v>
      </c>
      <c r="B2" s="3" t="s">
        <v>58</v>
      </c>
      <c r="D2" s="2" t="s">
        <v>167</v>
      </c>
    </row>
    <row r="3" spans="1:4" ht="28.5">
      <c r="A3" s="2" t="s">
        <v>25</v>
      </c>
      <c r="B3" s="5">
        <f>Perfil_Empresa!B11</f>
        <v>85000000</v>
      </c>
      <c r="D3" s="2" t="s">
        <v>168</v>
      </c>
    </row>
    <row r="4" spans="1:4">
      <c r="A4" s="2" t="s">
        <v>169</v>
      </c>
      <c r="B4" s="5">
        <f>SUM(Recolhimentos!F2:F25)</f>
        <v>3900000</v>
      </c>
      <c r="D4" s="2" t="s">
        <v>170</v>
      </c>
    </row>
    <row r="5" spans="1:4" ht="28.5">
      <c r="A5" s="2" t="s">
        <v>171</v>
      </c>
      <c r="B5" s="2">
        <f>COUNTIF(Recolhimentos!G2:G25,"&lt;&gt;Integral no prazo")</f>
        <v>10</v>
      </c>
      <c r="D5" s="2" t="s">
        <v>172</v>
      </c>
    </row>
    <row r="6" spans="1:4">
      <c r="A6" s="2" t="s">
        <v>173</v>
      </c>
      <c r="B6" s="14">
        <f>AVERAGE(Absenteismo!G2:G13)</f>
        <v>6.25E-2</v>
      </c>
    </row>
    <row r="7" spans="1:4">
      <c r="A7" s="2" t="s">
        <v>55</v>
      </c>
      <c r="B7" s="2">
        <f>SUM(Absenteismo!I2:I13)</f>
        <v>86</v>
      </c>
    </row>
    <row r="8" spans="1:4">
      <c r="A8" s="2" t="s">
        <v>56</v>
      </c>
      <c r="B8" s="2">
        <f>SUM(Absenteismo!J2:J13)</f>
        <v>31</v>
      </c>
    </row>
    <row r="9" spans="1:4">
      <c r="A9" s="2" t="s">
        <v>174</v>
      </c>
      <c r="B9" s="2">
        <f>SST!B4</f>
        <v>9</v>
      </c>
    </row>
    <row r="10" spans="1:4">
      <c r="A10" s="2" t="s">
        <v>175</v>
      </c>
      <c r="B10" s="15">
        <f>Scoring!D8</f>
        <v>60.75</v>
      </c>
    </row>
    <row r="11" spans="1:4">
      <c r="A11" s="2" t="s">
        <v>176</v>
      </c>
      <c r="B11" s="2" t="str">
        <f>IF(B10&gt;=80,"Favorável",IF(B10&gt;=60,"Favorável com condicionantes",IF(B10&gt;=40,"Restritivo até regularização","Desfavorável")))</f>
        <v>Favorável com condicionantes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9</vt:i4>
      </vt:variant>
    </vt:vector>
  </HeadingPairs>
  <TitlesOfParts>
    <vt:vector size="9" baseType="lpstr">
      <vt:lpstr>Orientações</vt:lpstr>
      <vt:lpstr>Perfil_Empresa</vt:lpstr>
      <vt:lpstr>Recolhimentos</vt:lpstr>
      <vt:lpstr>Absenteismo</vt:lpstr>
      <vt:lpstr>SST</vt:lpstr>
      <vt:lpstr>Terceiros</vt:lpstr>
      <vt:lpstr>Contencioso</vt:lpstr>
      <vt:lpstr>Scoring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Adilson Guimarães Costa</cp:lastModifiedBy>
  <dcterms:modified xsi:type="dcterms:W3CDTF">2026-06-27T19:45:30Z</dcterms:modified>
</cp:coreProperties>
</file>